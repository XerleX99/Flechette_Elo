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eria-my.sharepoint.com/personal/gabriel_charles_cs-soprasteria_com/Documents/Bureau/"/>
    </mc:Choice>
  </mc:AlternateContent>
  <xr:revisionPtr revIDLastSave="164" documentId="13_ncr:1_{1AEE9981-D673-41DA-BB3B-B230EAC4679D}" xr6:coauthVersionLast="47" xr6:coauthVersionMax="47" xr10:uidLastSave="{EDED7F0D-9591-45B6-89BF-B3573D55210C}"/>
  <bookViews>
    <workbookView xWindow="22932" yWindow="-36" windowWidth="23256" windowHeight="13896" tabRatio="500" xr2:uid="{00000000-000D-0000-FFFF-FFFF00000000}"/>
  </bookViews>
  <sheets>
    <sheet name="Feuil1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7" i="1" l="1"/>
  <c r="P38" i="1"/>
  <c r="P39" i="1"/>
  <c r="P40" i="1"/>
  <c r="P41" i="1"/>
  <c r="P42" i="1"/>
  <c r="P43" i="1"/>
  <c r="P44" i="1"/>
  <c r="P45" i="1"/>
  <c r="P46" i="1"/>
  <c r="P47" i="1"/>
  <c r="P36" i="1"/>
  <c r="W36" i="1" s="1"/>
  <c r="P27" i="1"/>
  <c r="P28" i="1"/>
  <c r="V28" i="1" s="1"/>
  <c r="P29" i="1"/>
  <c r="V29" i="1" s="1"/>
  <c r="P30" i="1"/>
  <c r="V30" i="1" s="1"/>
  <c r="P31" i="1"/>
  <c r="W31" i="1" s="1"/>
  <c r="P32" i="1"/>
  <c r="Z32" i="1" s="1"/>
  <c r="P33" i="1"/>
  <c r="W33" i="1" s="1"/>
  <c r="P34" i="1"/>
  <c r="X34" i="1" s="1"/>
  <c r="P35" i="1"/>
  <c r="W35" i="1" s="1"/>
  <c r="P26" i="1"/>
  <c r="V26" i="1" s="1"/>
  <c r="X26" i="1"/>
  <c r="AA26" i="1"/>
  <c r="AC26" i="1"/>
  <c r="AD26" i="1"/>
  <c r="AE26" i="1"/>
  <c r="AL13" i="1"/>
  <c r="AN13" i="1" s="1"/>
  <c r="AL12" i="1"/>
  <c r="AN12" i="1" s="1"/>
  <c r="AL11" i="1"/>
  <c r="AN11" i="1" s="1"/>
  <c r="AL10" i="1"/>
  <c r="AN10" i="1" s="1"/>
  <c r="AL9" i="1"/>
  <c r="AN9" i="1" s="1"/>
  <c r="AL8" i="1"/>
  <c r="AN8" i="1" s="1"/>
  <c r="AL7" i="1"/>
  <c r="AN7" i="1" s="1"/>
  <c r="AL6" i="1"/>
  <c r="AN6" i="1" s="1"/>
  <c r="AL5" i="1"/>
  <c r="AN5" i="1" s="1"/>
  <c r="AL4" i="1"/>
  <c r="AN4" i="1" s="1"/>
  <c r="AL3" i="1"/>
  <c r="V27" i="1"/>
  <c r="W27" i="1"/>
  <c r="X27" i="1"/>
  <c r="Y27" i="1"/>
  <c r="Z27" i="1"/>
  <c r="AA27" i="1"/>
  <c r="AB27" i="1"/>
  <c r="AC27" i="1"/>
  <c r="AD27" i="1"/>
  <c r="AE27" i="1"/>
  <c r="AF27" i="1"/>
  <c r="W28" i="1"/>
  <c r="Y28" i="1"/>
  <c r="Z28" i="1"/>
  <c r="AA28" i="1"/>
  <c r="AB28" i="1"/>
  <c r="AC28" i="1"/>
  <c r="AD28" i="1"/>
  <c r="AE28" i="1"/>
  <c r="AF28" i="1"/>
  <c r="W29" i="1"/>
  <c r="X29" i="1"/>
  <c r="Y29" i="1"/>
  <c r="Z29" i="1"/>
  <c r="AA29" i="1"/>
  <c r="AB29" i="1"/>
  <c r="AC29" i="1"/>
  <c r="AD29" i="1"/>
  <c r="AE29" i="1"/>
  <c r="AF29" i="1"/>
  <c r="X30" i="1"/>
  <c r="Y30" i="1"/>
  <c r="Z30" i="1"/>
  <c r="AA30" i="1"/>
  <c r="AB30" i="1"/>
  <c r="AC30" i="1"/>
  <c r="AD30" i="1"/>
  <c r="AE30" i="1"/>
  <c r="AF30" i="1"/>
  <c r="V31" i="1"/>
  <c r="X31" i="1"/>
  <c r="Z31" i="1"/>
  <c r="AA31" i="1"/>
  <c r="AB31" i="1"/>
  <c r="AC31" i="1"/>
  <c r="AD31" i="1"/>
  <c r="AE31" i="1"/>
  <c r="AF31" i="1"/>
  <c r="V32" i="1"/>
  <c r="W32" i="1"/>
  <c r="X32" i="1"/>
  <c r="Y32" i="1"/>
  <c r="AA32" i="1"/>
  <c r="AB32" i="1"/>
  <c r="AC32" i="1"/>
  <c r="AD32" i="1"/>
  <c r="AE32" i="1"/>
  <c r="AF32" i="1"/>
  <c r="X33" i="1"/>
  <c r="AA33" i="1"/>
  <c r="AB33" i="1"/>
  <c r="AC33" i="1"/>
  <c r="AD33" i="1"/>
  <c r="AE33" i="1"/>
  <c r="AF33" i="1"/>
  <c r="V34" i="1"/>
  <c r="W34" i="1"/>
  <c r="Y34" i="1"/>
  <c r="Z34" i="1"/>
  <c r="AA34" i="1"/>
  <c r="AB34" i="1"/>
  <c r="AC34" i="1"/>
  <c r="AE34" i="1"/>
  <c r="AF34" i="1"/>
  <c r="X35" i="1"/>
  <c r="Z35" i="1"/>
  <c r="AA35" i="1"/>
  <c r="AB35" i="1"/>
  <c r="AC35" i="1"/>
  <c r="AD35" i="1"/>
  <c r="AE35" i="1"/>
  <c r="X36" i="1"/>
  <c r="Z36" i="1"/>
  <c r="AA36" i="1"/>
  <c r="AB36" i="1"/>
  <c r="AC36" i="1"/>
  <c r="AD36" i="1"/>
  <c r="AE36" i="1"/>
  <c r="AF36" i="1"/>
  <c r="V37" i="1"/>
  <c r="W37" i="1"/>
  <c r="X37" i="1"/>
  <c r="Y37" i="1"/>
  <c r="Z37" i="1"/>
  <c r="AA37" i="1"/>
  <c r="AB37" i="1"/>
  <c r="AC37" i="1"/>
  <c r="AD37" i="1"/>
  <c r="AE37" i="1"/>
  <c r="AF37" i="1"/>
  <c r="V24" i="1"/>
  <c r="W24" i="1"/>
  <c r="X24" i="1"/>
  <c r="Z24" i="1"/>
  <c r="AA24" i="1"/>
  <c r="AB24" i="1"/>
  <c r="AC24" i="1"/>
  <c r="AD24" i="1"/>
  <c r="AE24" i="1"/>
  <c r="AF24" i="1"/>
  <c r="Z25" i="1"/>
  <c r="AA25" i="1"/>
  <c r="AB25" i="1"/>
  <c r="AC25" i="1"/>
  <c r="AD25" i="1"/>
  <c r="AE25" i="1"/>
  <c r="P24" i="1"/>
  <c r="Y24" i="1" s="1"/>
  <c r="P25" i="1"/>
  <c r="AF25" i="1" s="1"/>
  <c r="AF23" i="1"/>
  <c r="AE23" i="1"/>
  <c r="AD23" i="1"/>
  <c r="AC23" i="1"/>
  <c r="AB23" i="1"/>
  <c r="Z23" i="1"/>
  <c r="X23" i="1"/>
  <c r="AF22" i="1"/>
  <c r="AE22" i="1"/>
  <c r="AD22" i="1"/>
  <c r="AC22" i="1"/>
  <c r="AB22" i="1"/>
  <c r="Z22" i="1"/>
  <c r="X22" i="1"/>
  <c r="P22" i="1"/>
  <c r="W22" i="1" s="1"/>
  <c r="P23" i="1"/>
  <c r="W23" i="1" s="1"/>
  <c r="AK13" i="1"/>
  <c r="AK12" i="1"/>
  <c r="AK11" i="1"/>
  <c r="AK10" i="1"/>
  <c r="AK9" i="1"/>
  <c r="AK8" i="1"/>
  <c r="AK7" i="1"/>
  <c r="AK6" i="1"/>
  <c r="AK5" i="1"/>
  <c r="AK4" i="1"/>
  <c r="AK3" i="1"/>
  <c r="AE21" i="1"/>
  <c r="AD21" i="1"/>
  <c r="AC21" i="1"/>
  <c r="AB21" i="1"/>
  <c r="AA21" i="1"/>
  <c r="Z21" i="1"/>
  <c r="Y21" i="1"/>
  <c r="X21" i="1"/>
  <c r="P21" i="1"/>
  <c r="W21" i="1" s="1"/>
  <c r="AE20" i="1"/>
  <c r="AD20" i="1"/>
  <c r="AC20" i="1"/>
  <c r="AB20" i="1"/>
  <c r="AA20" i="1"/>
  <c r="X20" i="1"/>
  <c r="P20" i="1"/>
  <c r="W20" i="1" s="1"/>
  <c r="AF19" i="1"/>
  <c r="AE19" i="1"/>
  <c r="AD19" i="1"/>
  <c r="AC19" i="1"/>
  <c r="AB19" i="1"/>
  <c r="Z19" i="1"/>
  <c r="X19" i="1"/>
  <c r="V19" i="1"/>
  <c r="P19" i="1"/>
  <c r="W19" i="1" s="1"/>
  <c r="AF18" i="1"/>
  <c r="AE18" i="1"/>
  <c r="AD18" i="1"/>
  <c r="AC18" i="1"/>
  <c r="AB18" i="1"/>
  <c r="Z18" i="1"/>
  <c r="X18" i="1"/>
  <c r="P18" i="1"/>
  <c r="W18" i="1" s="1"/>
  <c r="AF17" i="1"/>
  <c r="AD17" i="1"/>
  <c r="AC17" i="1"/>
  <c r="AB17" i="1"/>
  <c r="Z17" i="1"/>
  <c r="X17" i="1"/>
  <c r="P17" i="1"/>
  <c r="W17" i="1" s="1"/>
  <c r="AF16" i="1"/>
  <c r="AE16" i="1"/>
  <c r="AB16" i="1"/>
  <c r="Y16" i="1"/>
  <c r="W16" i="1"/>
  <c r="V16" i="1"/>
  <c r="P16" i="1"/>
  <c r="AD16" i="1" s="1"/>
  <c r="AF15" i="1"/>
  <c r="AE15" i="1"/>
  <c r="AD15" i="1"/>
  <c r="AC15" i="1"/>
  <c r="AB15" i="1"/>
  <c r="AA15" i="1"/>
  <c r="Z15" i="1"/>
  <c r="X15" i="1"/>
  <c r="P15" i="1"/>
  <c r="W15" i="1" s="1"/>
  <c r="AF14" i="1"/>
  <c r="AE14" i="1"/>
  <c r="AD14" i="1"/>
  <c r="AC14" i="1"/>
  <c r="AB14" i="1"/>
  <c r="AA14" i="1"/>
  <c r="Z14" i="1"/>
  <c r="X14" i="1"/>
  <c r="P14" i="1"/>
  <c r="W14" i="1" s="1"/>
  <c r="AF13" i="1"/>
  <c r="AE13" i="1"/>
  <c r="AD13" i="1"/>
  <c r="AC13" i="1"/>
  <c r="AB13" i="1"/>
  <c r="AA13" i="1"/>
  <c r="Z13" i="1"/>
  <c r="P13" i="1"/>
  <c r="W13" i="1" s="1"/>
  <c r="AF12" i="1"/>
  <c r="AE12" i="1"/>
  <c r="AD12" i="1"/>
  <c r="AC12" i="1"/>
  <c r="AB12" i="1"/>
  <c r="AA12" i="1"/>
  <c r="Z12" i="1"/>
  <c r="X12" i="1"/>
  <c r="P12" i="1"/>
  <c r="W12" i="1" s="1"/>
  <c r="AF11" i="1"/>
  <c r="AE11" i="1"/>
  <c r="AD11" i="1"/>
  <c r="AC11" i="1"/>
  <c r="X11" i="1"/>
  <c r="P11" i="1"/>
  <c r="W11" i="1" s="1"/>
  <c r="AF10" i="1"/>
  <c r="AE10" i="1"/>
  <c r="AD10" i="1"/>
  <c r="AC10" i="1"/>
  <c r="X10" i="1"/>
  <c r="P10" i="1"/>
  <c r="W10" i="1" s="1"/>
  <c r="AF9" i="1"/>
  <c r="AE9" i="1"/>
  <c r="AD9" i="1"/>
  <c r="AC9" i="1"/>
  <c r="AB9" i="1"/>
  <c r="Z9" i="1"/>
  <c r="X9" i="1"/>
  <c r="P9" i="1"/>
  <c r="W9" i="1" s="1"/>
  <c r="AF8" i="1"/>
  <c r="AE8" i="1"/>
  <c r="AD8" i="1"/>
  <c r="AC8" i="1"/>
  <c r="AB8" i="1"/>
  <c r="Z8" i="1"/>
  <c r="X8" i="1"/>
  <c r="P8" i="1"/>
  <c r="W8" i="1" s="1"/>
  <c r="AF7" i="1"/>
  <c r="AE7" i="1"/>
  <c r="AD7" i="1"/>
  <c r="AC7" i="1"/>
  <c r="AB7" i="1"/>
  <c r="AA7" i="1"/>
  <c r="P7" i="1"/>
  <c r="W7" i="1" s="1"/>
  <c r="AF6" i="1"/>
  <c r="AE6" i="1"/>
  <c r="AD6" i="1"/>
  <c r="AC6" i="1"/>
  <c r="AB6" i="1"/>
  <c r="AA6" i="1"/>
  <c r="X6" i="1"/>
  <c r="P6" i="1"/>
  <c r="W6" i="1" s="1"/>
  <c r="AF5" i="1"/>
  <c r="AE5" i="1"/>
  <c r="AD5" i="1"/>
  <c r="AC5" i="1"/>
  <c r="AB5" i="1"/>
  <c r="AA5" i="1"/>
  <c r="Z5" i="1"/>
  <c r="X5" i="1"/>
  <c r="P5" i="1"/>
  <c r="W5" i="1" s="1"/>
  <c r="AF4" i="1"/>
  <c r="AE4" i="1"/>
  <c r="AD4" i="1"/>
  <c r="AC4" i="1"/>
  <c r="AB4" i="1"/>
  <c r="AA4" i="1"/>
  <c r="Z4" i="1"/>
  <c r="Y4" i="1"/>
  <c r="X4" i="1"/>
  <c r="P4" i="1"/>
  <c r="W4" i="1" s="1"/>
  <c r="AF3" i="1"/>
  <c r="AE3" i="1"/>
  <c r="AD3" i="1"/>
  <c r="AC3" i="1"/>
  <c r="AB3" i="1"/>
  <c r="AA3" i="1"/>
  <c r="Z3" i="1"/>
  <c r="Y3" i="1"/>
  <c r="P3" i="1"/>
  <c r="W3" i="1" s="1"/>
  <c r="AF2" i="1"/>
  <c r="AE2" i="1"/>
  <c r="AD2" i="1"/>
  <c r="AC2" i="1"/>
  <c r="AB2" i="1"/>
  <c r="AA2" i="1"/>
  <c r="Z2" i="1"/>
  <c r="Y2" i="1"/>
  <c r="X2" i="1"/>
  <c r="W2" i="1"/>
  <c r="V2" i="1"/>
  <c r="AD34" i="1" l="1"/>
  <c r="Y25" i="1"/>
  <c r="Y12" i="1"/>
  <c r="V15" i="1"/>
  <c r="AA11" i="1"/>
  <c r="Y22" i="1"/>
  <c r="X25" i="1"/>
  <c r="Z11" i="1"/>
  <c r="Y10" i="1"/>
  <c r="AC16" i="1"/>
  <c r="AM10" i="1" s="1"/>
  <c r="AO10" i="1" s="1"/>
  <c r="W25" i="1"/>
  <c r="Z10" i="1"/>
  <c r="AA22" i="1"/>
  <c r="V10" i="1"/>
  <c r="AB10" i="1"/>
  <c r="Y11" i="1"/>
  <c r="X13" i="1"/>
  <c r="V17" i="1"/>
  <c r="V12" i="1"/>
  <c r="Y36" i="1"/>
  <c r="V5" i="1"/>
  <c r="Y5" i="1"/>
  <c r="Y17" i="1"/>
  <c r="V36" i="1"/>
  <c r="Y35" i="1"/>
  <c r="AF35" i="1"/>
  <c r="V35" i="1"/>
  <c r="V18" i="1"/>
  <c r="Y20" i="1"/>
  <c r="V25" i="1"/>
  <c r="V6" i="1"/>
  <c r="X7" i="1"/>
  <c r="Y8" i="1"/>
  <c r="AA10" i="1"/>
  <c r="AB11" i="1"/>
  <c r="Y19" i="1"/>
  <c r="Z20" i="1"/>
  <c r="AF26" i="1"/>
  <c r="V4" i="1"/>
  <c r="Y6" i="1"/>
  <c r="Z7" i="1"/>
  <c r="AA8" i="1"/>
  <c r="AA19" i="1"/>
  <c r="V20" i="1"/>
  <c r="Y7" i="1"/>
  <c r="Y23" i="1"/>
  <c r="V7" i="1"/>
  <c r="V3" i="1"/>
  <c r="Z6" i="1"/>
  <c r="V14" i="1"/>
  <c r="X16" i="1"/>
  <c r="V9" i="1"/>
  <c r="Y9" i="1"/>
  <c r="Y18" i="1"/>
  <c r="AA18" i="1"/>
  <c r="X3" i="1"/>
  <c r="V13" i="1"/>
  <c r="Y15" i="1"/>
  <c r="AA17" i="1"/>
  <c r="AA23" i="1"/>
  <c r="AB26" i="1"/>
  <c r="Y14" i="1"/>
  <c r="Z16" i="1"/>
  <c r="V8" i="1"/>
  <c r="AA9" i="1"/>
  <c r="V11" i="1"/>
  <c r="Y13" i="1"/>
  <c r="AA16" i="1"/>
  <c r="V21" i="1"/>
  <c r="Y26" i="1"/>
  <c r="Z33" i="1"/>
  <c r="Y33" i="1"/>
  <c r="V33" i="1"/>
  <c r="Y31" i="1"/>
  <c r="W30" i="1"/>
  <c r="X28" i="1"/>
  <c r="AM11" i="1"/>
  <c r="AO11" i="1" s="1"/>
  <c r="AP11" i="1" s="1"/>
  <c r="Z26" i="1"/>
  <c r="W26" i="1"/>
  <c r="AE17" i="1"/>
  <c r="AM12" i="1" s="1"/>
  <c r="AO12" i="1" s="1"/>
  <c r="AP12" i="1" s="1"/>
  <c r="AF20" i="1"/>
  <c r="AF21" i="1"/>
  <c r="V23" i="1"/>
  <c r="V22" i="1"/>
  <c r="AP10" i="1"/>
  <c r="AN3" i="1"/>
  <c r="AM9" i="1" l="1"/>
  <c r="AO9" i="1" s="1"/>
  <c r="AP9" i="1" s="1"/>
  <c r="AM8" i="1"/>
  <c r="AO8" i="1" s="1"/>
  <c r="AP8" i="1" s="1"/>
  <c r="AM13" i="1"/>
  <c r="AO13" i="1" s="1"/>
  <c r="AP13" i="1" s="1"/>
  <c r="AM6" i="1"/>
  <c r="AO6" i="1" s="1"/>
  <c r="AP6" i="1" s="1"/>
  <c r="AM4" i="1"/>
  <c r="AO4" i="1" s="1"/>
  <c r="AP4" i="1" s="1"/>
  <c r="AM3" i="1"/>
  <c r="AO3" i="1" s="1"/>
  <c r="AP3" i="1" s="1"/>
  <c r="AM7" i="1"/>
  <c r="AO7" i="1" s="1"/>
  <c r="AP7" i="1" s="1"/>
  <c r="AM5" i="1"/>
  <c r="AO5" i="1" s="1"/>
  <c r="AP5" i="1" s="1"/>
  <c r="AT3" i="1" l="1"/>
  <c r="AS9" i="1"/>
  <c r="AS12" i="1"/>
  <c r="AT10" i="1"/>
  <c r="AS5" i="1"/>
  <c r="AS3" i="1"/>
  <c r="AS4" i="1"/>
  <c r="AT13" i="1"/>
  <c r="AS10" i="1"/>
  <c r="AT8" i="1"/>
  <c r="AS6" i="1"/>
  <c r="AT7" i="1"/>
  <c r="AS11" i="1"/>
  <c r="AT12" i="1"/>
  <c r="AT9" i="1"/>
  <c r="AS8" i="1"/>
  <c r="AS13" i="1"/>
  <c r="AT6" i="1"/>
  <c r="AT5" i="1"/>
  <c r="AT11" i="1"/>
  <c r="AT4" i="1"/>
  <c r="AS7" i="1"/>
</calcChain>
</file>

<file path=xl/sharedStrings.xml><?xml version="1.0" encoding="utf-8"?>
<sst xmlns="http://schemas.openxmlformats.org/spreadsheetml/2006/main" count="28" uniqueCount="26">
  <si>
    <t>Parties :</t>
  </si>
  <si>
    <t>Points par partie (0 si dernier de la partie)</t>
  </si>
  <si>
    <t>Date</t>
  </si>
  <si>
    <t>Gabriel</t>
  </si>
  <si>
    <t>Luc</t>
  </si>
  <si>
    <t>Maïlys</t>
  </si>
  <si>
    <t>Yassine</t>
  </si>
  <si>
    <t>Martin</t>
  </si>
  <si>
    <t>Henri</t>
  </si>
  <si>
    <t>Romaric</t>
  </si>
  <si>
    <t>Yohan</t>
  </si>
  <si>
    <t>Didier</t>
  </si>
  <si>
    <t>Julien</t>
  </si>
  <si>
    <t>Nico</t>
  </si>
  <si>
    <t>Position</t>
  </si>
  <si>
    <t>Point</t>
  </si>
  <si>
    <t>Joueur</t>
  </si>
  <si>
    <t>Participations</t>
  </si>
  <si>
    <t>Moyenne points</t>
  </si>
  <si>
    <t>Score final</t>
  </si>
  <si>
    <t>clé (technique, vide si &lt;3 participations)</t>
  </si>
  <si>
    <t>Rang</t>
  </si>
  <si>
    <t>Quefficient multiplicateur</t>
  </si>
  <si>
    <t>Thibaud</t>
  </si>
  <si>
    <t>Christian</t>
  </si>
  <si>
    <t>Olivier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</si>
</sst>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Aptos Narrow"/>
      <family val="2"/>
      <charset val="1"/>
    </font>
    <font>
      <b/>
      <sz val="11"/>
      <name val="Aptos Narrow"/>
      <charset val="1"/>
    </font>
    <font>
      <sz val="11"/>
      <name val="Aptos Narrow"/>
      <charset val="1"/>
    </font>
    <font>
      <i/>
      <sz val="9"/>
      <color rgb="FF999999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abSelected="1" topLeftCell="AD1" zoomScale="98" zoomScaleNormal="100" workbookViewId="0">
      <selection activeCell="G16" sqref="G16"/>
    </sheetView>
  </sheetViews>
  <sheetFormatPr baseColWidth="10" defaultColWidth="10.5546875" defaultRowHeight="14.4" x14ac:dyDescent="0.3"/>
  <cols>
    <col min="38" max="38" width="14.88671875" customWidth="1"/>
    <col min="39" max="39" width="19.44140625" customWidth="1"/>
    <col min="40" max="40" width="23.33203125" bestFit="1" customWidth="1"/>
  </cols>
  <sheetData>
    <row r="1" spans="1:46" ht="14.25" customHeight="1" x14ac:dyDescent="0.3">
      <c r="A1" t="s">
        <v>0</v>
      </c>
      <c r="V1" s="1" t="s">
        <v>1</v>
      </c>
    </row>
    <row r="2" spans="1:46" ht="14.25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23</v>
      </c>
      <c r="M2" s="2" t="s">
        <v>24</v>
      </c>
      <c r="N2" s="2" t="s">
        <v>13</v>
      </c>
      <c r="O2" s="2" t="s">
        <v>25</v>
      </c>
      <c r="S2" s="2" t="s">
        <v>14</v>
      </c>
      <c r="T2" s="2" t="s">
        <v>15</v>
      </c>
      <c r="V2" s="1" t="str">
        <f t="shared" ref="V2:AE2" si="0">B2</f>
        <v>Gabriel</v>
      </c>
      <c r="W2" s="1" t="str">
        <f t="shared" si="0"/>
        <v>Luc</v>
      </c>
      <c r="X2" s="1" t="str">
        <f t="shared" si="0"/>
        <v>Maïlys</v>
      </c>
      <c r="Y2" s="1" t="str">
        <f t="shared" si="0"/>
        <v>Yassine</v>
      </c>
      <c r="Z2" s="1" t="str">
        <f t="shared" si="0"/>
        <v>Martin</v>
      </c>
      <c r="AA2" s="1" t="str">
        <f t="shared" si="0"/>
        <v>Henri</v>
      </c>
      <c r="AB2" s="1" t="str">
        <f t="shared" si="0"/>
        <v>Romaric</v>
      </c>
      <c r="AC2" s="1" t="str">
        <f t="shared" si="0"/>
        <v>Yohan</v>
      </c>
      <c r="AD2" s="1" t="str">
        <f t="shared" si="0"/>
        <v>Didier</v>
      </c>
      <c r="AE2" s="1" t="str">
        <f t="shared" si="0"/>
        <v>Julien</v>
      </c>
      <c r="AF2" s="1" t="str">
        <f t="shared" ref="AF2" si="1">N2</f>
        <v>Nico</v>
      </c>
      <c r="AK2" s="1" t="s">
        <v>16</v>
      </c>
      <c r="AL2" s="1" t="s">
        <v>17</v>
      </c>
      <c r="AM2" s="1" t="s">
        <v>18</v>
      </c>
      <c r="AN2" s="1" t="s">
        <v>22</v>
      </c>
      <c r="AO2" s="1" t="s">
        <v>19</v>
      </c>
      <c r="AP2" s="5" t="s">
        <v>20</v>
      </c>
      <c r="AR2" s="1" t="s">
        <v>21</v>
      </c>
      <c r="AS2" s="1" t="s">
        <v>16</v>
      </c>
      <c r="AT2" s="1" t="s">
        <v>19</v>
      </c>
    </row>
    <row r="3" spans="1:46" ht="14.25" customHeight="1" x14ac:dyDescent="0.3">
      <c r="A3" s="3">
        <v>46258</v>
      </c>
      <c r="B3" s="2">
        <v>1</v>
      </c>
      <c r="C3" s="2">
        <v>1</v>
      </c>
      <c r="D3" s="2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>
        <f t="shared" ref="P3:P47" si="2">MAX(B3:N3)</f>
        <v>2</v>
      </c>
      <c r="S3" s="2">
        <v>1</v>
      </c>
      <c r="T3" s="2">
        <v>6</v>
      </c>
      <c r="V3" s="4">
        <f t="shared" ref="V3:V21" si="3">IF(B3="","",IF(B3=$P3,0,IFERROR(INDEX($T$3:$T$5,MATCH(B3,$S$3:$S$5,0)),0)))</f>
        <v>6</v>
      </c>
      <c r="W3" s="4">
        <f t="shared" ref="W3:W21" si="4">IF(C3="","",IF(C3=$P3,0,IFERROR(INDEX($T$3:$T$5,MATCH(C3,$S$3:$S$5,0)),0)))</f>
        <v>6</v>
      </c>
      <c r="X3" s="4">
        <f t="shared" ref="X3:X21" si="5">IF(D3="","",IF(D3=$P3,0,IFERROR(INDEX($T$3:$T$5,MATCH(D3,$S$3:$S$5,0)),0)))</f>
        <v>0</v>
      </c>
      <c r="Y3" s="4" t="str">
        <f t="shared" ref="Y3:Y21" si="6">IF(E3="","",IF(E3=$P3,0,IFERROR(INDEX($T$3:$T$5,MATCH(E3,$S$3:$S$5,0)),0)))</f>
        <v/>
      </c>
      <c r="Z3" s="4" t="str">
        <f t="shared" ref="Z3:Z21" si="7">IF(F3="","",IF(F3=$P3,0,IFERROR(INDEX($T$3:$T$5,MATCH(F3,$S$3:$S$5,0)),0)))</f>
        <v/>
      </c>
      <c r="AA3" s="4" t="str">
        <f t="shared" ref="AA3:AA21" si="8">IF(G3="","",IF(G3=$P3,0,IFERROR(INDEX($T$3:$T$5,MATCH(G3,$S$3:$S$5,0)),0)))</f>
        <v/>
      </c>
      <c r="AB3" s="4" t="str">
        <f t="shared" ref="AB3:AB21" si="9">IF(H3="","",IF(H3=$P3,0,IFERROR(INDEX($T$3:$T$5,MATCH(H3,$S$3:$S$5,0)),0)))</f>
        <v/>
      </c>
      <c r="AC3" s="4" t="str">
        <f t="shared" ref="AC3:AC21" si="10">IF(I3="","",IF(I3=$P3,0,IFERROR(INDEX($T$3:$T$5,MATCH(I3,$S$3:$S$5,0)),0)))</f>
        <v/>
      </c>
      <c r="AD3" s="4" t="str">
        <f t="shared" ref="AD3:AD21" si="11">IF(J3="","",IF(J3=$P3,0,IFERROR(INDEX($T$3:$T$5,MATCH(J3,$S$3:$S$5,0)),0)))</f>
        <v/>
      </c>
      <c r="AE3" s="4" t="str">
        <f t="shared" ref="AE3:AE21" si="12">IF(K3="","",IF(K3=$P3,0,IFERROR(INDEX($T$3:$T$5,MATCH(K3,$S$3:$S$5,0)),0)))</f>
        <v/>
      </c>
      <c r="AF3" s="4" t="str">
        <f t="shared" ref="AF3:AF21" si="13">IF(N3="","",IF(N3=$P3,0,IFERROR(INDEX($T$3:$T$5,MATCH(N3,$S$3:$S$5,0)),0)))</f>
        <v/>
      </c>
      <c r="AK3" s="4" t="str">
        <f>B2</f>
        <v>Gabriel</v>
      </c>
      <c r="AL3" s="4">
        <f>COUNT(B3:B50)</f>
        <v>32</v>
      </c>
      <c r="AM3" s="4">
        <f>AVERAGE(V3:V50)</f>
        <v>3.09375</v>
      </c>
      <c r="AN3">
        <f>MIN(1+0.02*AL3,2)</f>
        <v>1.6400000000000001</v>
      </c>
      <c r="AO3" s="4">
        <f t="shared" ref="AO3:AO13" si="14">AM3*AN3</f>
        <v>5.0737500000000004</v>
      </c>
      <c r="AP3" s="5">
        <f t="shared" ref="AP3:AP13" si="15">IF(AL3&lt;3,"",AO3+ROW()/10000000)</f>
        <v>5.0737503000000004</v>
      </c>
      <c r="AR3" s="4">
        <v>1</v>
      </c>
      <c r="AS3" s="4" t="str">
        <f t="shared" ref="AS3:AS13" si="16">IFERROR(INDEX($AK$3:$AK$13,MATCH(LARGE($AP$3:$AP$13,AR3),$AP$3:$AP$13,0)),"")</f>
        <v>Luc</v>
      </c>
      <c r="AT3" s="4">
        <f t="shared" ref="AT3:AT13" si="17">IFERROR(INDEX($AO$3:$AO$13,MATCH(LARGE($AP$3:$AP$13,AR3),$AP$3:$AP$13,0)),"")</f>
        <v>5.6339393939393947</v>
      </c>
    </row>
    <row r="4" spans="1:46" ht="14.25" customHeight="1" x14ac:dyDescent="0.3">
      <c r="A4" s="3">
        <v>46259</v>
      </c>
      <c r="B4" s="2">
        <v>1</v>
      </c>
      <c r="C4" s="2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>
        <f t="shared" si="2"/>
        <v>2</v>
      </c>
      <c r="S4" s="2">
        <v>2</v>
      </c>
      <c r="T4" s="2">
        <v>3</v>
      </c>
      <c r="V4" s="4">
        <f t="shared" si="3"/>
        <v>6</v>
      </c>
      <c r="W4" s="4">
        <f t="shared" si="4"/>
        <v>0</v>
      </c>
      <c r="X4" s="4" t="str">
        <f t="shared" si="5"/>
        <v/>
      </c>
      <c r="Y4" s="4" t="str">
        <f t="shared" si="6"/>
        <v/>
      </c>
      <c r="Z4" s="4" t="str">
        <f t="shared" si="7"/>
        <v/>
      </c>
      <c r="AA4" s="4" t="str">
        <f t="shared" si="8"/>
        <v/>
      </c>
      <c r="AB4" s="4" t="str">
        <f t="shared" si="9"/>
        <v/>
      </c>
      <c r="AC4" s="4" t="str">
        <f t="shared" si="10"/>
        <v/>
      </c>
      <c r="AD4" s="4" t="str">
        <f t="shared" si="11"/>
        <v/>
      </c>
      <c r="AE4" s="4" t="str">
        <f t="shared" si="12"/>
        <v/>
      </c>
      <c r="AF4" s="4" t="str">
        <f t="shared" si="13"/>
        <v/>
      </c>
      <c r="AK4" s="4" t="str">
        <f>C2</f>
        <v>Luc</v>
      </c>
      <c r="AL4" s="4">
        <f>COUNT(C3:C50)</f>
        <v>33</v>
      </c>
      <c r="AM4" s="4">
        <f>AVERAGE(W3:W50)</f>
        <v>3.393939393939394</v>
      </c>
      <c r="AN4">
        <f>MIN(1+0.02*AL4,2)</f>
        <v>1.6600000000000001</v>
      </c>
      <c r="AO4" s="4">
        <f t="shared" si="14"/>
        <v>5.6339393939393947</v>
      </c>
      <c r="AP4" s="5">
        <f t="shared" si="15"/>
        <v>5.6339397939393949</v>
      </c>
      <c r="AR4" s="4">
        <v>2</v>
      </c>
      <c r="AS4" s="4" t="str">
        <f t="shared" si="16"/>
        <v>Gabriel</v>
      </c>
      <c r="AT4" s="4">
        <f t="shared" si="17"/>
        <v>5.0737500000000004</v>
      </c>
    </row>
    <row r="5" spans="1:46" ht="14.25" customHeight="1" x14ac:dyDescent="0.3">
      <c r="A5" s="3">
        <v>46259</v>
      </c>
      <c r="B5" s="2">
        <v>1</v>
      </c>
      <c r="C5" s="2">
        <v>3</v>
      </c>
      <c r="D5" s="2"/>
      <c r="E5" s="2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>
        <f t="shared" si="2"/>
        <v>3</v>
      </c>
      <c r="S5" s="2">
        <v>3</v>
      </c>
      <c r="T5" s="2">
        <v>2</v>
      </c>
      <c r="V5" s="4">
        <f t="shared" si="3"/>
        <v>6</v>
      </c>
      <c r="W5" s="4">
        <f t="shared" si="4"/>
        <v>0</v>
      </c>
      <c r="X5" s="4" t="str">
        <f t="shared" si="5"/>
        <v/>
      </c>
      <c r="Y5" s="4">
        <f t="shared" si="6"/>
        <v>3</v>
      </c>
      <c r="Z5" s="4" t="str">
        <f t="shared" si="7"/>
        <v/>
      </c>
      <c r="AA5" s="4" t="str">
        <f t="shared" si="8"/>
        <v/>
      </c>
      <c r="AB5" s="4" t="str">
        <f t="shared" si="9"/>
        <v/>
      </c>
      <c r="AC5" s="4" t="str">
        <f t="shared" si="10"/>
        <v/>
      </c>
      <c r="AD5" s="4" t="str">
        <f t="shared" si="11"/>
        <v/>
      </c>
      <c r="AE5" s="4" t="str">
        <f t="shared" si="12"/>
        <v/>
      </c>
      <c r="AF5" s="4" t="str">
        <f t="shared" si="13"/>
        <v/>
      </c>
      <c r="AK5" s="4" t="str">
        <f>D2</f>
        <v>Maïlys</v>
      </c>
      <c r="AL5" s="4">
        <f>COUNT(D3:D50)</f>
        <v>9</v>
      </c>
      <c r="AM5" s="4">
        <f>AVERAGE(X3:X50)</f>
        <v>3.7777777777777777</v>
      </c>
      <c r="AN5">
        <f t="shared" ref="AN5:AN13" si="18">MIN(1+0.02*AL5,2)</f>
        <v>1.18</v>
      </c>
      <c r="AO5" s="4">
        <f t="shared" si="14"/>
        <v>4.4577777777777774</v>
      </c>
      <c r="AP5" s="5">
        <f t="shared" si="15"/>
        <v>4.457778277777777</v>
      </c>
      <c r="AR5" s="4">
        <v>3</v>
      </c>
      <c r="AS5" s="4" t="str">
        <f t="shared" si="16"/>
        <v>Maïlys</v>
      </c>
      <c r="AT5" s="4">
        <f t="shared" si="17"/>
        <v>4.4577777777777774</v>
      </c>
    </row>
    <row r="6" spans="1:46" ht="14.25" customHeight="1" x14ac:dyDescent="0.3">
      <c r="A6" s="3">
        <v>46260</v>
      </c>
      <c r="B6" s="2">
        <v>3</v>
      </c>
      <c r="C6" s="2">
        <v>2</v>
      </c>
      <c r="D6" s="2"/>
      <c r="E6" s="2">
        <v>1</v>
      </c>
      <c r="F6" s="2">
        <v>4</v>
      </c>
      <c r="G6" s="2"/>
      <c r="H6" s="2"/>
      <c r="I6" s="2"/>
      <c r="J6" s="2"/>
      <c r="K6" s="2"/>
      <c r="L6" s="2"/>
      <c r="M6" s="2"/>
      <c r="N6" s="2"/>
      <c r="O6" s="2"/>
      <c r="P6">
        <f t="shared" si="2"/>
        <v>4</v>
      </c>
      <c r="V6" s="4">
        <f t="shared" si="3"/>
        <v>2</v>
      </c>
      <c r="W6" s="4">
        <f t="shared" si="4"/>
        <v>3</v>
      </c>
      <c r="X6" s="4" t="str">
        <f t="shared" si="5"/>
        <v/>
      </c>
      <c r="Y6" s="4">
        <f t="shared" si="6"/>
        <v>6</v>
      </c>
      <c r="Z6" s="4">
        <f t="shared" si="7"/>
        <v>0</v>
      </c>
      <c r="AA6" s="4" t="str">
        <f t="shared" si="8"/>
        <v/>
      </c>
      <c r="AB6" s="4" t="str">
        <f t="shared" si="9"/>
        <v/>
      </c>
      <c r="AC6" s="4" t="str">
        <f t="shared" si="10"/>
        <v/>
      </c>
      <c r="AD6" s="4" t="str">
        <f t="shared" si="11"/>
        <v/>
      </c>
      <c r="AE6" s="4" t="str">
        <f t="shared" si="12"/>
        <v/>
      </c>
      <c r="AF6" s="4" t="str">
        <f t="shared" si="13"/>
        <v/>
      </c>
      <c r="AK6" s="4" t="str">
        <f>E2</f>
        <v>Yassine</v>
      </c>
      <c r="AL6" s="4">
        <f>COUNT(E3:E50)</f>
        <v>28</v>
      </c>
      <c r="AM6" s="4">
        <f>AVERAGE(Y3:Y50)</f>
        <v>2.6785714285714284</v>
      </c>
      <c r="AN6">
        <f t="shared" si="18"/>
        <v>1.56</v>
      </c>
      <c r="AO6" s="4">
        <f t="shared" si="14"/>
        <v>4.1785714285714288</v>
      </c>
      <c r="AP6" s="5">
        <f t="shared" si="15"/>
        <v>4.1785720285714287</v>
      </c>
      <c r="AR6" s="4">
        <v>4</v>
      </c>
      <c r="AS6" s="4" t="str">
        <f t="shared" si="16"/>
        <v>Yassine</v>
      </c>
      <c r="AT6" s="4">
        <f t="shared" si="17"/>
        <v>4.1785714285714288</v>
      </c>
    </row>
    <row r="7" spans="1:46" ht="14.25" customHeight="1" x14ac:dyDescent="0.3">
      <c r="A7" s="3">
        <v>46260</v>
      </c>
      <c r="B7" s="2">
        <v>3</v>
      </c>
      <c r="C7" s="2">
        <v>2</v>
      </c>
      <c r="D7" s="2">
        <v>3</v>
      </c>
      <c r="E7" s="2">
        <v>1</v>
      </c>
      <c r="F7" s="2">
        <v>4</v>
      </c>
      <c r="G7" s="2"/>
      <c r="H7" s="2"/>
      <c r="I7" s="2"/>
      <c r="J7" s="2"/>
      <c r="K7" s="2"/>
      <c r="L7" s="2"/>
      <c r="M7" s="2"/>
      <c r="N7" s="2"/>
      <c r="O7" s="2"/>
      <c r="P7">
        <f t="shared" si="2"/>
        <v>4</v>
      </c>
      <c r="V7" s="4">
        <f t="shared" si="3"/>
        <v>2</v>
      </c>
      <c r="W7" s="4">
        <f t="shared" si="4"/>
        <v>3</v>
      </c>
      <c r="X7" s="4">
        <f t="shared" si="5"/>
        <v>2</v>
      </c>
      <c r="Y7" s="4">
        <f t="shared" si="6"/>
        <v>6</v>
      </c>
      <c r="Z7" s="4">
        <f t="shared" si="7"/>
        <v>0</v>
      </c>
      <c r="AA7" s="4" t="str">
        <f t="shared" si="8"/>
        <v/>
      </c>
      <c r="AB7" s="4" t="str">
        <f t="shared" si="9"/>
        <v/>
      </c>
      <c r="AC7" s="4" t="str">
        <f t="shared" si="10"/>
        <v/>
      </c>
      <c r="AD7" s="4" t="str">
        <f t="shared" si="11"/>
        <v/>
      </c>
      <c r="AE7" s="4" t="str">
        <f t="shared" si="12"/>
        <v/>
      </c>
      <c r="AF7" s="4" t="str">
        <f t="shared" si="13"/>
        <v/>
      </c>
      <c r="AK7" s="4" t="str">
        <f>F2</f>
        <v>Martin</v>
      </c>
      <c r="AL7" s="4">
        <f>COUNT(F3:F50)</f>
        <v>13</v>
      </c>
      <c r="AM7" s="4">
        <f>AVERAGE(Z3:Z50)</f>
        <v>0.84615384615384615</v>
      </c>
      <c r="AN7">
        <f t="shared" si="18"/>
        <v>1.26</v>
      </c>
      <c r="AO7" s="4">
        <f t="shared" si="14"/>
        <v>1.0661538461538462</v>
      </c>
      <c r="AP7" s="5">
        <f t="shared" si="15"/>
        <v>1.0661545461538462</v>
      </c>
      <c r="AR7" s="4">
        <v>5</v>
      </c>
      <c r="AS7" s="4" t="str">
        <f t="shared" si="16"/>
        <v>Henri</v>
      </c>
      <c r="AT7" s="4">
        <f t="shared" si="17"/>
        <v>3</v>
      </c>
    </row>
    <row r="8" spans="1:46" ht="14.25" customHeight="1" x14ac:dyDescent="0.3">
      <c r="A8" s="3">
        <v>46261</v>
      </c>
      <c r="B8" s="2">
        <v>1</v>
      </c>
      <c r="C8" s="2">
        <v>3</v>
      </c>
      <c r="D8" s="2"/>
      <c r="E8" s="2">
        <v>2</v>
      </c>
      <c r="F8" s="2"/>
      <c r="G8" s="2">
        <v>4</v>
      </c>
      <c r="H8" s="2"/>
      <c r="I8" s="2"/>
      <c r="J8" s="2"/>
      <c r="K8" s="2"/>
      <c r="L8" s="2"/>
      <c r="M8" s="2"/>
      <c r="N8" s="2"/>
      <c r="O8" s="2"/>
      <c r="P8">
        <f t="shared" si="2"/>
        <v>4</v>
      </c>
      <c r="V8" s="4">
        <f t="shared" si="3"/>
        <v>6</v>
      </c>
      <c r="W8" s="4">
        <f t="shared" si="4"/>
        <v>2</v>
      </c>
      <c r="X8" s="4" t="str">
        <f t="shared" si="5"/>
        <v/>
      </c>
      <c r="Y8" s="4">
        <f t="shared" si="6"/>
        <v>3</v>
      </c>
      <c r="Z8" s="4" t="str">
        <f t="shared" si="7"/>
        <v/>
      </c>
      <c r="AA8" s="4">
        <f t="shared" si="8"/>
        <v>0</v>
      </c>
      <c r="AB8" s="4" t="str">
        <f t="shared" si="9"/>
        <v/>
      </c>
      <c r="AC8" s="4" t="str">
        <f t="shared" si="10"/>
        <v/>
      </c>
      <c r="AD8" s="4" t="str">
        <f t="shared" si="11"/>
        <v/>
      </c>
      <c r="AE8" s="4" t="str">
        <f t="shared" si="12"/>
        <v/>
      </c>
      <c r="AF8" s="4" t="str">
        <f t="shared" si="13"/>
        <v/>
      </c>
      <c r="AK8" s="4" t="str">
        <f>G2</f>
        <v>Henri</v>
      </c>
      <c r="AL8" s="4">
        <f>COUNT(G3:G50)</f>
        <v>10</v>
      </c>
      <c r="AM8" s="4">
        <f>AVERAGE(AA3:AA50)</f>
        <v>2.5</v>
      </c>
      <c r="AN8">
        <f t="shared" si="18"/>
        <v>1.2</v>
      </c>
      <c r="AO8" s="4">
        <f t="shared" si="14"/>
        <v>3</v>
      </c>
      <c r="AP8" s="5">
        <f t="shared" si="15"/>
        <v>3.0000008</v>
      </c>
      <c r="AR8" s="4">
        <v>6</v>
      </c>
      <c r="AS8" s="4" t="str">
        <f t="shared" si="16"/>
        <v>Romaric</v>
      </c>
      <c r="AT8" s="4">
        <f t="shared" si="17"/>
        <v>1.4133333333333333</v>
      </c>
    </row>
    <row r="9" spans="1:46" ht="14.25" customHeight="1" x14ac:dyDescent="0.3">
      <c r="A9" s="3">
        <v>46261</v>
      </c>
      <c r="B9" s="2">
        <v>2</v>
      </c>
      <c r="C9" s="2">
        <v>1</v>
      </c>
      <c r="D9" s="2"/>
      <c r="E9" s="2">
        <v>3</v>
      </c>
      <c r="F9" s="2"/>
      <c r="G9" s="2">
        <v>4</v>
      </c>
      <c r="H9" s="2"/>
      <c r="I9" s="2"/>
      <c r="J9" s="2"/>
      <c r="K9" s="2"/>
      <c r="L9" s="2"/>
      <c r="M9" s="2"/>
      <c r="N9" s="2"/>
      <c r="O9" s="2"/>
      <c r="P9">
        <f t="shared" si="2"/>
        <v>4</v>
      </c>
      <c r="V9" s="4">
        <f t="shared" si="3"/>
        <v>3</v>
      </c>
      <c r="W9" s="4">
        <f t="shared" si="4"/>
        <v>6</v>
      </c>
      <c r="X9" s="4" t="str">
        <f t="shared" si="5"/>
        <v/>
      </c>
      <c r="Y9" s="4">
        <f t="shared" si="6"/>
        <v>2</v>
      </c>
      <c r="Z9" s="4" t="str">
        <f t="shared" si="7"/>
        <v/>
      </c>
      <c r="AA9" s="4">
        <f t="shared" si="8"/>
        <v>0</v>
      </c>
      <c r="AB9" s="4" t="str">
        <f t="shared" si="9"/>
        <v/>
      </c>
      <c r="AC9" s="4" t="str">
        <f t="shared" si="10"/>
        <v/>
      </c>
      <c r="AD9" s="4" t="str">
        <f t="shared" si="11"/>
        <v/>
      </c>
      <c r="AE9" s="4" t="str">
        <f t="shared" si="12"/>
        <v/>
      </c>
      <c r="AF9" s="4" t="str">
        <f t="shared" si="13"/>
        <v/>
      </c>
      <c r="AK9" s="4" t="str">
        <f>H2</f>
        <v>Romaric</v>
      </c>
      <c r="AL9" s="4">
        <f>COUNT(H3:H50)</f>
        <v>3</v>
      </c>
      <c r="AM9" s="4">
        <f>AVERAGE(AB3:AB50)</f>
        <v>1.3333333333333333</v>
      </c>
      <c r="AN9">
        <f t="shared" si="18"/>
        <v>1.06</v>
      </c>
      <c r="AO9" s="4">
        <f t="shared" si="14"/>
        <v>1.4133333333333333</v>
      </c>
      <c r="AP9" s="5">
        <f t="shared" si="15"/>
        <v>1.4133342333333334</v>
      </c>
      <c r="AR9" s="4">
        <v>7</v>
      </c>
      <c r="AS9" s="4" t="str">
        <f t="shared" si="16"/>
        <v>Nico</v>
      </c>
      <c r="AT9" s="4">
        <f t="shared" si="17"/>
        <v>1.3066666666666669</v>
      </c>
    </row>
    <row r="10" spans="1:46" ht="14.25" customHeight="1" x14ac:dyDescent="0.3">
      <c r="A10" s="3">
        <v>46262</v>
      </c>
      <c r="B10" s="2">
        <v>3</v>
      </c>
      <c r="C10" s="2">
        <v>1</v>
      </c>
      <c r="D10" s="2"/>
      <c r="E10" s="2">
        <v>5</v>
      </c>
      <c r="F10" s="2">
        <v>6</v>
      </c>
      <c r="G10" s="2">
        <v>2</v>
      </c>
      <c r="H10" s="2">
        <v>3</v>
      </c>
      <c r="I10" s="2"/>
      <c r="J10" s="2"/>
      <c r="K10" s="2"/>
      <c r="L10" s="2"/>
      <c r="M10" s="2"/>
      <c r="N10" s="2"/>
      <c r="O10" s="2"/>
      <c r="P10">
        <f t="shared" si="2"/>
        <v>6</v>
      </c>
      <c r="V10" s="4">
        <f t="shared" si="3"/>
        <v>2</v>
      </c>
      <c r="W10" s="4">
        <f t="shared" si="4"/>
        <v>6</v>
      </c>
      <c r="X10" s="4" t="str">
        <f t="shared" si="5"/>
        <v/>
      </c>
      <c r="Y10" s="4">
        <f t="shared" si="6"/>
        <v>0</v>
      </c>
      <c r="Z10" s="4">
        <f t="shared" si="7"/>
        <v>0</v>
      </c>
      <c r="AA10" s="4">
        <f t="shared" si="8"/>
        <v>3</v>
      </c>
      <c r="AB10" s="4">
        <f t="shared" si="9"/>
        <v>2</v>
      </c>
      <c r="AC10" s="4" t="str">
        <f t="shared" si="10"/>
        <v/>
      </c>
      <c r="AD10" s="4" t="str">
        <f t="shared" si="11"/>
        <v/>
      </c>
      <c r="AE10" s="4" t="str">
        <f t="shared" si="12"/>
        <v/>
      </c>
      <c r="AF10" s="4" t="str">
        <f t="shared" si="13"/>
        <v/>
      </c>
      <c r="AK10" s="4" t="str">
        <f>I2</f>
        <v>Yohan</v>
      </c>
      <c r="AL10" s="4">
        <f>COUNT(I3:I50)</f>
        <v>1</v>
      </c>
      <c r="AM10" s="4">
        <f>AVERAGE(AC3:AC50)</f>
        <v>3</v>
      </c>
      <c r="AN10">
        <f t="shared" si="18"/>
        <v>1.02</v>
      </c>
      <c r="AO10" s="4">
        <f t="shared" si="14"/>
        <v>3.06</v>
      </c>
      <c r="AP10" s="5" t="str">
        <f t="shared" si="15"/>
        <v/>
      </c>
      <c r="AR10" s="4">
        <v>8</v>
      </c>
      <c r="AS10" s="4" t="str">
        <f t="shared" si="16"/>
        <v>Martin</v>
      </c>
      <c r="AT10" s="4">
        <f t="shared" si="17"/>
        <v>1.0661538461538462</v>
      </c>
    </row>
    <row r="11" spans="1:46" ht="14.25" customHeight="1" x14ac:dyDescent="0.3">
      <c r="A11" s="3">
        <v>46262</v>
      </c>
      <c r="B11" s="2">
        <v>4</v>
      </c>
      <c r="C11" s="2">
        <v>3</v>
      </c>
      <c r="D11" s="2"/>
      <c r="E11" s="2">
        <v>1</v>
      </c>
      <c r="F11" s="2">
        <v>2</v>
      </c>
      <c r="G11" s="2">
        <v>3</v>
      </c>
      <c r="H11" s="2">
        <v>3</v>
      </c>
      <c r="I11" s="2"/>
      <c r="J11" s="2"/>
      <c r="K11" s="2"/>
      <c r="L11" s="2"/>
      <c r="M11" s="2"/>
      <c r="N11" s="2"/>
      <c r="O11" s="2"/>
      <c r="P11">
        <f t="shared" si="2"/>
        <v>4</v>
      </c>
      <c r="V11" s="4">
        <f t="shared" si="3"/>
        <v>0</v>
      </c>
      <c r="W11" s="4">
        <f t="shared" si="4"/>
        <v>2</v>
      </c>
      <c r="X11" s="4" t="str">
        <f t="shared" si="5"/>
        <v/>
      </c>
      <c r="Y11" s="4">
        <f t="shared" si="6"/>
        <v>6</v>
      </c>
      <c r="Z11" s="4">
        <f t="shared" si="7"/>
        <v>3</v>
      </c>
      <c r="AA11" s="4">
        <f t="shared" si="8"/>
        <v>2</v>
      </c>
      <c r="AB11" s="4">
        <f t="shared" si="9"/>
        <v>2</v>
      </c>
      <c r="AC11" s="4" t="str">
        <f t="shared" si="10"/>
        <v/>
      </c>
      <c r="AD11" s="4" t="str">
        <f t="shared" si="11"/>
        <v/>
      </c>
      <c r="AE11" s="4" t="str">
        <f t="shared" si="12"/>
        <v/>
      </c>
      <c r="AF11" s="4" t="str">
        <f t="shared" si="13"/>
        <v/>
      </c>
      <c r="AK11" s="4" t="str">
        <f>J2</f>
        <v>Didier</v>
      </c>
      <c r="AL11" s="4">
        <f>COUNT(J3:J50)</f>
        <v>2</v>
      </c>
      <c r="AM11" s="4">
        <f>AVERAGE(AD3:AD50)</f>
        <v>1</v>
      </c>
      <c r="AN11">
        <f t="shared" si="18"/>
        <v>1.04</v>
      </c>
      <c r="AO11" s="4">
        <f t="shared" si="14"/>
        <v>1.04</v>
      </c>
      <c r="AP11" s="5" t="str">
        <f t="shared" si="15"/>
        <v/>
      </c>
      <c r="AR11" s="4">
        <v>9</v>
      </c>
      <c r="AS11" s="4" t="str">
        <f t="shared" si="16"/>
        <v/>
      </c>
      <c r="AT11" s="4" t="str">
        <f t="shared" si="17"/>
        <v/>
      </c>
    </row>
    <row r="12" spans="1:46" ht="14.25" customHeight="1" x14ac:dyDescent="0.3">
      <c r="A12" s="3">
        <v>46265</v>
      </c>
      <c r="B12" s="2">
        <v>1</v>
      </c>
      <c r="C12" s="2">
        <v>3</v>
      </c>
      <c r="D12" s="2"/>
      <c r="E12" s="2">
        <v>4</v>
      </c>
      <c r="F12" s="2">
        <v>2</v>
      </c>
      <c r="G12" s="2"/>
      <c r="H12" s="2"/>
      <c r="I12" s="2"/>
      <c r="J12" s="2"/>
      <c r="K12" s="2"/>
      <c r="L12" s="2"/>
      <c r="M12" s="2"/>
      <c r="N12" s="2"/>
      <c r="O12" s="2"/>
      <c r="P12">
        <f t="shared" si="2"/>
        <v>4</v>
      </c>
      <c r="V12" s="4">
        <f t="shared" si="3"/>
        <v>6</v>
      </c>
      <c r="W12" s="4">
        <f t="shared" si="4"/>
        <v>2</v>
      </c>
      <c r="X12" s="4" t="str">
        <f t="shared" si="5"/>
        <v/>
      </c>
      <c r="Y12" s="4">
        <f t="shared" si="6"/>
        <v>0</v>
      </c>
      <c r="Z12" s="4">
        <f t="shared" si="7"/>
        <v>3</v>
      </c>
      <c r="AA12" s="4" t="str">
        <f t="shared" si="8"/>
        <v/>
      </c>
      <c r="AB12" s="4" t="str">
        <f t="shared" si="9"/>
        <v/>
      </c>
      <c r="AC12" s="4" t="str">
        <f t="shared" si="10"/>
        <v/>
      </c>
      <c r="AD12" s="4" t="str">
        <f t="shared" si="11"/>
        <v/>
      </c>
      <c r="AE12" s="4" t="str">
        <f t="shared" si="12"/>
        <v/>
      </c>
      <c r="AF12" s="4" t="str">
        <f t="shared" si="13"/>
        <v/>
      </c>
      <c r="AK12" s="4" t="str">
        <f>K2</f>
        <v>Julien</v>
      </c>
      <c r="AL12" s="4">
        <f>COUNT(K3:K50)</f>
        <v>1</v>
      </c>
      <c r="AM12" s="4">
        <f>AVERAGE(AE2:AE50)</f>
        <v>0</v>
      </c>
      <c r="AN12">
        <f t="shared" si="18"/>
        <v>1.02</v>
      </c>
      <c r="AO12" s="4">
        <f t="shared" si="14"/>
        <v>0</v>
      </c>
      <c r="AP12" s="5" t="str">
        <f t="shared" si="15"/>
        <v/>
      </c>
      <c r="AR12" s="4">
        <v>10</v>
      </c>
      <c r="AS12" s="4" t="str">
        <f t="shared" si="16"/>
        <v/>
      </c>
      <c r="AT12" s="4" t="str">
        <f t="shared" si="17"/>
        <v/>
      </c>
    </row>
    <row r="13" spans="1:46" ht="14.25" customHeight="1" x14ac:dyDescent="0.3">
      <c r="A13" s="3">
        <v>46235</v>
      </c>
      <c r="B13" s="2">
        <v>3</v>
      </c>
      <c r="C13" s="2">
        <v>3</v>
      </c>
      <c r="D13" s="2">
        <v>2</v>
      </c>
      <c r="E13" s="2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>
        <f t="shared" si="2"/>
        <v>3</v>
      </c>
      <c r="V13" s="4">
        <f t="shared" si="3"/>
        <v>0</v>
      </c>
      <c r="W13" s="4">
        <f t="shared" si="4"/>
        <v>0</v>
      </c>
      <c r="X13" s="4">
        <f t="shared" si="5"/>
        <v>3</v>
      </c>
      <c r="Y13" s="4">
        <f t="shared" si="6"/>
        <v>6</v>
      </c>
      <c r="Z13" s="4" t="str">
        <f t="shared" si="7"/>
        <v/>
      </c>
      <c r="AA13" s="4" t="str">
        <f t="shared" si="8"/>
        <v/>
      </c>
      <c r="AB13" s="4" t="str">
        <f t="shared" si="9"/>
        <v/>
      </c>
      <c r="AC13" s="4" t="str">
        <f t="shared" si="10"/>
        <v/>
      </c>
      <c r="AD13" s="4" t="str">
        <f t="shared" si="11"/>
        <v/>
      </c>
      <c r="AE13" s="4" t="str">
        <f t="shared" si="12"/>
        <v/>
      </c>
      <c r="AF13" s="4" t="str">
        <f t="shared" si="13"/>
        <v/>
      </c>
      <c r="AK13" s="4" t="str">
        <f>N2</f>
        <v>Nico</v>
      </c>
      <c r="AL13" s="4">
        <f>COUNT(N3:N50)</f>
        <v>6</v>
      </c>
      <c r="AM13" s="4">
        <f>AVERAGE(AF3:AF50)</f>
        <v>1.1666666666666667</v>
      </c>
      <c r="AN13">
        <f t="shared" si="18"/>
        <v>1.1200000000000001</v>
      </c>
      <c r="AO13" s="4">
        <f t="shared" si="14"/>
        <v>1.3066666666666669</v>
      </c>
      <c r="AP13" s="5">
        <f t="shared" si="15"/>
        <v>1.306667966666667</v>
      </c>
      <c r="AR13" s="4">
        <v>11</v>
      </c>
      <c r="AS13" s="4" t="str">
        <f t="shared" si="16"/>
        <v/>
      </c>
      <c r="AT13" s="4" t="str">
        <f t="shared" si="17"/>
        <v/>
      </c>
    </row>
    <row r="14" spans="1:46" ht="14.25" customHeight="1" x14ac:dyDescent="0.3">
      <c r="A14" s="3">
        <v>46235</v>
      </c>
      <c r="B14" s="2">
        <v>3</v>
      </c>
      <c r="C14" s="2">
        <v>1</v>
      </c>
      <c r="D14" s="2"/>
      <c r="E14" s="2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>
        <f t="shared" si="2"/>
        <v>3</v>
      </c>
      <c r="V14" s="4">
        <f t="shared" si="3"/>
        <v>0</v>
      </c>
      <c r="W14" s="4">
        <f t="shared" si="4"/>
        <v>6</v>
      </c>
      <c r="X14" s="4" t="str">
        <f t="shared" si="5"/>
        <v/>
      </c>
      <c r="Y14" s="4">
        <f t="shared" si="6"/>
        <v>3</v>
      </c>
      <c r="Z14" s="4" t="str">
        <f t="shared" si="7"/>
        <v/>
      </c>
      <c r="AA14" s="4" t="str">
        <f t="shared" si="8"/>
        <v/>
      </c>
      <c r="AB14" s="4" t="str">
        <f t="shared" si="9"/>
        <v/>
      </c>
      <c r="AC14" s="4" t="str">
        <f t="shared" si="10"/>
        <v/>
      </c>
      <c r="AD14" s="4" t="str">
        <f t="shared" si="11"/>
        <v/>
      </c>
      <c r="AE14" s="4" t="str">
        <f t="shared" si="12"/>
        <v/>
      </c>
      <c r="AF14" s="4" t="str">
        <f t="shared" si="13"/>
        <v/>
      </c>
    </row>
    <row r="15" spans="1:46" ht="14.25" customHeight="1" x14ac:dyDescent="0.3">
      <c r="A15" s="3">
        <v>46235</v>
      </c>
      <c r="B15" s="2">
        <v>1</v>
      </c>
      <c r="C15" s="2">
        <v>2</v>
      </c>
      <c r="D15" s="2"/>
      <c r="E15" s="2">
        <v>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>
        <f t="shared" si="2"/>
        <v>3</v>
      </c>
      <c r="V15" s="4">
        <f t="shared" si="3"/>
        <v>6</v>
      </c>
      <c r="W15" s="4">
        <f t="shared" si="4"/>
        <v>3</v>
      </c>
      <c r="X15" s="4" t="str">
        <f t="shared" si="5"/>
        <v/>
      </c>
      <c r="Y15" s="4">
        <f t="shared" si="6"/>
        <v>0</v>
      </c>
      <c r="Z15" s="4" t="str">
        <f t="shared" si="7"/>
        <v/>
      </c>
      <c r="AA15" s="4" t="str">
        <f t="shared" si="8"/>
        <v/>
      </c>
      <c r="AB15" s="4" t="str">
        <f t="shared" si="9"/>
        <v/>
      </c>
      <c r="AC15" s="4" t="str">
        <f t="shared" si="10"/>
        <v/>
      </c>
      <c r="AD15" s="4" t="str">
        <f t="shared" si="11"/>
        <v/>
      </c>
      <c r="AE15" s="4" t="str">
        <f t="shared" si="12"/>
        <v/>
      </c>
      <c r="AF15" s="4" t="str">
        <f t="shared" si="13"/>
        <v/>
      </c>
    </row>
    <row r="16" spans="1:46" ht="14.25" customHeight="1" x14ac:dyDescent="0.3">
      <c r="A16" s="3">
        <v>46236</v>
      </c>
      <c r="B16" s="2"/>
      <c r="C16" s="2"/>
      <c r="D16" s="2">
        <v>1</v>
      </c>
      <c r="E16" s="2"/>
      <c r="F16" s="2">
        <v>4</v>
      </c>
      <c r="G16" s="2">
        <v>1</v>
      </c>
      <c r="H16" s="2"/>
      <c r="I16" s="2">
        <v>2</v>
      </c>
      <c r="J16" s="2">
        <v>3</v>
      </c>
      <c r="K16" s="2"/>
      <c r="L16" s="2"/>
      <c r="M16" s="2"/>
      <c r="N16" s="2"/>
      <c r="O16" s="2"/>
      <c r="P16">
        <f t="shared" si="2"/>
        <v>4</v>
      </c>
      <c r="V16" s="4" t="str">
        <f t="shared" si="3"/>
        <v/>
      </c>
      <c r="W16" s="4" t="str">
        <f t="shared" si="4"/>
        <v/>
      </c>
      <c r="X16" s="4">
        <f t="shared" si="5"/>
        <v>6</v>
      </c>
      <c r="Y16" s="4" t="str">
        <f t="shared" si="6"/>
        <v/>
      </c>
      <c r="Z16" s="4">
        <f t="shared" si="7"/>
        <v>0</v>
      </c>
      <c r="AA16" s="4">
        <f t="shared" si="8"/>
        <v>6</v>
      </c>
      <c r="AB16" s="4" t="str">
        <f t="shared" si="9"/>
        <v/>
      </c>
      <c r="AC16" s="4">
        <f t="shared" si="10"/>
        <v>3</v>
      </c>
      <c r="AD16" s="4">
        <f t="shared" si="11"/>
        <v>2</v>
      </c>
      <c r="AE16" s="4" t="str">
        <f t="shared" si="12"/>
        <v/>
      </c>
      <c r="AF16" s="4" t="str">
        <f t="shared" si="13"/>
        <v/>
      </c>
    </row>
    <row r="17" spans="1:32" ht="14.25" customHeight="1" x14ac:dyDescent="0.3">
      <c r="A17" s="3">
        <v>46236</v>
      </c>
      <c r="B17" s="2">
        <v>2</v>
      </c>
      <c r="C17" s="2">
        <v>1</v>
      </c>
      <c r="D17" s="2"/>
      <c r="E17" s="2">
        <v>3</v>
      </c>
      <c r="F17" s="2"/>
      <c r="G17" s="2">
        <v>2</v>
      </c>
      <c r="H17" s="2"/>
      <c r="I17" s="2"/>
      <c r="J17" s="2"/>
      <c r="K17" s="2">
        <v>4</v>
      </c>
      <c r="L17" s="2"/>
      <c r="M17" s="2"/>
      <c r="N17" s="2"/>
      <c r="O17" s="2"/>
      <c r="P17">
        <f t="shared" si="2"/>
        <v>4</v>
      </c>
      <c r="V17" s="4">
        <f t="shared" si="3"/>
        <v>3</v>
      </c>
      <c r="W17" s="4">
        <f t="shared" si="4"/>
        <v>6</v>
      </c>
      <c r="X17" s="4" t="str">
        <f t="shared" si="5"/>
        <v/>
      </c>
      <c r="Y17" s="4">
        <f t="shared" si="6"/>
        <v>2</v>
      </c>
      <c r="Z17" s="4" t="str">
        <f t="shared" si="7"/>
        <v/>
      </c>
      <c r="AA17" s="4">
        <f t="shared" si="8"/>
        <v>3</v>
      </c>
      <c r="AB17" s="4" t="str">
        <f t="shared" si="9"/>
        <v/>
      </c>
      <c r="AC17" s="4" t="str">
        <f t="shared" si="10"/>
        <v/>
      </c>
      <c r="AD17" s="4" t="str">
        <f t="shared" si="11"/>
        <v/>
      </c>
      <c r="AE17" s="4">
        <f t="shared" si="12"/>
        <v>0</v>
      </c>
      <c r="AF17" s="4" t="str">
        <f t="shared" si="13"/>
        <v/>
      </c>
    </row>
    <row r="18" spans="1:32" ht="14.25" customHeight="1" x14ac:dyDescent="0.3">
      <c r="A18" s="3">
        <v>46236</v>
      </c>
      <c r="B18" s="2">
        <v>2</v>
      </c>
      <c r="C18" s="2">
        <v>1</v>
      </c>
      <c r="D18" s="2"/>
      <c r="E18" s="2">
        <v>4</v>
      </c>
      <c r="F18" s="2"/>
      <c r="G18" s="2">
        <v>3</v>
      </c>
      <c r="H18" s="2"/>
      <c r="I18" s="2"/>
      <c r="J18" s="2"/>
      <c r="K18" s="2"/>
      <c r="L18" s="2"/>
      <c r="M18" s="2"/>
      <c r="N18" s="2"/>
      <c r="O18" s="2"/>
      <c r="P18">
        <f t="shared" si="2"/>
        <v>4</v>
      </c>
      <c r="V18" s="4">
        <f t="shared" si="3"/>
        <v>3</v>
      </c>
      <c r="W18" s="4">
        <f t="shared" si="4"/>
        <v>6</v>
      </c>
      <c r="X18" s="4" t="str">
        <f t="shared" si="5"/>
        <v/>
      </c>
      <c r="Y18" s="4">
        <f t="shared" si="6"/>
        <v>0</v>
      </c>
      <c r="Z18" s="4" t="str">
        <f t="shared" si="7"/>
        <v/>
      </c>
      <c r="AA18" s="4">
        <f t="shared" si="8"/>
        <v>2</v>
      </c>
      <c r="AB18" s="4" t="str">
        <f t="shared" si="9"/>
        <v/>
      </c>
      <c r="AC18" s="4" t="str">
        <f t="shared" si="10"/>
        <v/>
      </c>
      <c r="AD18" s="4" t="str">
        <f t="shared" si="11"/>
        <v/>
      </c>
      <c r="AE18" s="4" t="str">
        <f t="shared" si="12"/>
        <v/>
      </c>
      <c r="AF18" s="4" t="str">
        <f t="shared" si="13"/>
        <v/>
      </c>
    </row>
    <row r="19" spans="1:32" ht="14.25" customHeight="1" x14ac:dyDescent="0.3">
      <c r="A19" s="3">
        <v>46236</v>
      </c>
      <c r="B19" s="2"/>
      <c r="C19" s="2">
        <v>1</v>
      </c>
      <c r="D19" s="2"/>
      <c r="E19" s="2">
        <v>3</v>
      </c>
      <c r="F19" s="2"/>
      <c r="G19" s="2">
        <v>2</v>
      </c>
      <c r="H19" s="2"/>
      <c r="I19" s="2"/>
      <c r="J19" s="2"/>
      <c r="K19" s="2"/>
      <c r="L19" s="2"/>
      <c r="M19" s="2"/>
      <c r="N19" s="2"/>
      <c r="O19" s="2"/>
      <c r="P19">
        <f t="shared" si="2"/>
        <v>3</v>
      </c>
      <c r="V19" s="4" t="str">
        <f t="shared" si="3"/>
        <v/>
      </c>
      <c r="W19" s="4">
        <f t="shared" si="4"/>
        <v>6</v>
      </c>
      <c r="X19" s="4" t="str">
        <f t="shared" si="5"/>
        <v/>
      </c>
      <c r="Y19" s="4">
        <f t="shared" si="6"/>
        <v>0</v>
      </c>
      <c r="Z19" s="4" t="str">
        <f t="shared" si="7"/>
        <v/>
      </c>
      <c r="AA19" s="4">
        <f t="shared" si="8"/>
        <v>3</v>
      </c>
      <c r="AB19" s="4" t="str">
        <f t="shared" si="9"/>
        <v/>
      </c>
      <c r="AC19" s="4" t="str">
        <f t="shared" si="10"/>
        <v/>
      </c>
      <c r="AD19" s="4" t="str">
        <f t="shared" si="11"/>
        <v/>
      </c>
      <c r="AE19" s="4" t="str">
        <f t="shared" si="12"/>
        <v/>
      </c>
      <c r="AF19" s="4" t="str">
        <f t="shared" si="13"/>
        <v/>
      </c>
    </row>
    <row r="20" spans="1:32" ht="14.25" customHeight="1" x14ac:dyDescent="0.3">
      <c r="A20" s="3">
        <v>46237</v>
      </c>
      <c r="B20" s="2">
        <v>1</v>
      </c>
      <c r="C20" s="2">
        <v>3</v>
      </c>
      <c r="D20" s="2"/>
      <c r="E20" s="2">
        <v>4</v>
      </c>
      <c r="F20" s="2">
        <v>5</v>
      </c>
      <c r="G20" s="2"/>
      <c r="H20" s="2"/>
      <c r="I20" s="2"/>
      <c r="J20" s="2"/>
      <c r="K20" s="2"/>
      <c r="L20" s="2"/>
      <c r="M20" s="2"/>
      <c r="N20" s="2">
        <v>2</v>
      </c>
      <c r="O20" s="2"/>
      <c r="P20">
        <f t="shared" si="2"/>
        <v>5</v>
      </c>
      <c r="V20" s="4">
        <f t="shared" si="3"/>
        <v>6</v>
      </c>
      <c r="W20" s="4">
        <f t="shared" si="4"/>
        <v>2</v>
      </c>
      <c r="X20" s="4" t="str">
        <f t="shared" si="5"/>
        <v/>
      </c>
      <c r="Y20" s="4">
        <f t="shared" si="6"/>
        <v>0</v>
      </c>
      <c r="Z20" s="4">
        <f t="shared" si="7"/>
        <v>0</v>
      </c>
      <c r="AA20" s="4" t="str">
        <f t="shared" si="8"/>
        <v/>
      </c>
      <c r="AB20" s="4" t="str">
        <f t="shared" si="9"/>
        <v/>
      </c>
      <c r="AC20" s="4" t="str">
        <f t="shared" si="10"/>
        <v/>
      </c>
      <c r="AD20" s="4" t="str">
        <f t="shared" si="11"/>
        <v/>
      </c>
      <c r="AE20" s="4" t="str">
        <f t="shared" si="12"/>
        <v/>
      </c>
      <c r="AF20" s="4">
        <f t="shared" si="13"/>
        <v>3</v>
      </c>
    </row>
    <row r="21" spans="1:32" ht="14.25" customHeight="1" x14ac:dyDescent="0.3">
      <c r="A21" s="3">
        <v>46237</v>
      </c>
      <c r="B21" s="2">
        <v>2</v>
      </c>
      <c r="C21" s="2">
        <v>1</v>
      </c>
      <c r="D21" s="2"/>
      <c r="E21" s="2">
        <v>5</v>
      </c>
      <c r="F21" s="2">
        <v>4</v>
      </c>
      <c r="G21" s="2"/>
      <c r="H21" s="2"/>
      <c r="I21" s="2"/>
      <c r="J21" s="2"/>
      <c r="K21" s="2"/>
      <c r="L21" s="2"/>
      <c r="M21" s="2"/>
      <c r="N21" s="2">
        <v>3</v>
      </c>
      <c r="O21" s="2"/>
      <c r="P21">
        <f t="shared" si="2"/>
        <v>5</v>
      </c>
      <c r="V21" s="4">
        <f t="shared" si="3"/>
        <v>3</v>
      </c>
      <c r="W21" s="4">
        <f t="shared" si="4"/>
        <v>6</v>
      </c>
      <c r="X21" s="4" t="str">
        <f t="shared" si="5"/>
        <v/>
      </c>
      <c r="Y21" s="4">
        <f t="shared" si="6"/>
        <v>0</v>
      </c>
      <c r="Z21" s="4">
        <f t="shared" si="7"/>
        <v>0</v>
      </c>
      <c r="AA21" s="4" t="str">
        <f t="shared" si="8"/>
        <v/>
      </c>
      <c r="AB21" s="4" t="str">
        <f t="shared" si="9"/>
        <v/>
      </c>
      <c r="AC21" s="4" t="str">
        <f t="shared" si="10"/>
        <v/>
      </c>
      <c r="AD21" s="4" t="str">
        <f t="shared" si="11"/>
        <v/>
      </c>
      <c r="AE21" s="4" t="str">
        <f t="shared" si="12"/>
        <v/>
      </c>
      <c r="AF21" s="4">
        <f t="shared" si="13"/>
        <v>2</v>
      </c>
    </row>
    <row r="22" spans="1:32" x14ac:dyDescent="0.3">
      <c r="A22" s="6">
        <v>46269</v>
      </c>
      <c r="B22" s="2">
        <v>3</v>
      </c>
      <c r="C22" s="2">
        <v>1</v>
      </c>
      <c r="D22" s="2"/>
      <c r="E22" s="2">
        <v>2</v>
      </c>
      <c r="F22" s="2"/>
      <c r="G22" s="2">
        <v>3</v>
      </c>
      <c r="H22" s="2"/>
      <c r="I22" s="2"/>
      <c r="J22" s="2"/>
      <c r="K22" s="2"/>
      <c r="L22" s="2"/>
      <c r="M22" s="2"/>
      <c r="N22" s="2"/>
      <c r="O22" s="2"/>
      <c r="P22">
        <f t="shared" si="2"/>
        <v>3</v>
      </c>
      <c r="V22" s="4">
        <f t="shared" ref="V22:V37" si="19">IF(B22="","",IF(B22=$P22,0,IFERROR(INDEX($T$3:$T$5,MATCH(B22,$S$3:$S$5,0)),0)))</f>
        <v>0</v>
      </c>
      <c r="W22" s="4">
        <f t="shared" ref="W22:W37" si="20">IF(C22="","",IF(C22=$P22,0,IFERROR(INDEX($T$3:$T$5,MATCH(C22,$S$3:$S$5,0)),0)))</f>
        <v>6</v>
      </c>
      <c r="X22" s="4" t="str">
        <f t="shared" ref="X22:X37" si="21">IF(D22="","",IF(D22=$P22,0,IFERROR(INDEX($T$3:$T$5,MATCH(D22,$S$3:$S$5,0)),0)))</f>
        <v/>
      </c>
      <c r="Y22" s="4">
        <f t="shared" ref="Y22:Y37" si="22">IF(E22="","",IF(E22=$P22,0,IFERROR(INDEX($T$3:$T$5,MATCH(E22,$S$3:$S$5,0)),0)))</f>
        <v>3</v>
      </c>
      <c r="Z22" s="4" t="str">
        <f t="shared" ref="Z22:Z37" si="23">IF(F22="","",IF(F22=$P22,0,IFERROR(INDEX($T$3:$T$5,MATCH(F22,$S$3:$S$5,0)),0)))</f>
        <v/>
      </c>
      <c r="AA22" s="4">
        <f t="shared" ref="AA22:AA37" si="24">IF(G22="","",IF(G22=$P22,0,IFERROR(INDEX($T$3:$T$5,MATCH(G22,$S$3:$S$5,0)),0)))</f>
        <v>0</v>
      </c>
      <c r="AB22" s="4" t="str">
        <f t="shared" ref="AB22:AB37" si="25">IF(H22="","",IF(H22=$P22,0,IFERROR(INDEX($T$3:$T$5,MATCH(H22,$S$3:$S$5,0)),0)))</f>
        <v/>
      </c>
      <c r="AC22" s="4" t="str">
        <f t="shared" ref="AC22:AC37" si="26">IF(I22="","",IF(I22=$P22,0,IFERROR(INDEX($T$3:$T$5,MATCH(I22,$S$3:$S$5,0)),0)))</f>
        <v/>
      </c>
      <c r="AD22" s="4" t="str">
        <f t="shared" ref="AD22:AD37" si="27">IF(J22="","",IF(J22=$P22,0,IFERROR(INDEX($T$3:$T$5,MATCH(J22,$S$3:$S$5,0)),0)))</f>
        <v/>
      </c>
      <c r="AE22" s="4" t="str">
        <f t="shared" ref="AE22:AE37" si="28">IF(K22="","",IF(K22=$P22,0,IFERROR(INDEX($T$3:$T$5,MATCH(K22,$S$3:$S$5,0)),0)))</f>
        <v/>
      </c>
      <c r="AF22" s="4" t="str">
        <f t="shared" ref="AF22:AF37" si="29">IF(N22="","",IF(N22=$P22,0,IFERROR(INDEX($T$3:$T$5,MATCH(N22,$S$3:$S$5,0)),0)))</f>
        <v/>
      </c>
    </row>
    <row r="23" spans="1:32" x14ac:dyDescent="0.3">
      <c r="A23" s="6">
        <v>46269</v>
      </c>
      <c r="B23" s="2">
        <v>2</v>
      </c>
      <c r="C23" s="2">
        <v>4</v>
      </c>
      <c r="D23" s="2"/>
      <c r="E23" s="2">
        <v>3</v>
      </c>
      <c r="F23" s="2"/>
      <c r="G23" s="2">
        <v>1</v>
      </c>
      <c r="H23" s="2"/>
      <c r="I23" s="2"/>
      <c r="J23" s="2"/>
      <c r="K23" s="2"/>
      <c r="L23" s="2"/>
      <c r="M23" s="2"/>
      <c r="N23" s="2"/>
      <c r="O23" s="2"/>
      <c r="P23">
        <f t="shared" si="2"/>
        <v>4</v>
      </c>
      <c r="V23" s="4">
        <f t="shared" si="19"/>
        <v>3</v>
      </c>
      <c r="W23" s="4">
        <f t="shared" si="20"/>
        <v>0</v>
      </c>
      <c r="X23" s="4" t="str">
        <f t="shared" si="21"/>
        <v/>
      </c>
      <c r="Y23" s="4">
        <f t="shared" si="22"/>
        <v>2</v>
      </c>
      <c r="Z23" s="4" t="str">
        <f t="shared" si="23"/>
        <v/>
      </c>
      <c r="AA23" s="4">
        <f t="shared" si="24"/>
        <v>6</v>
      </c>
      <c r="AB23" s="4" t="str">
        <f t="shared" si="25"/>
        <v/>
      </c>
      <c r="AC23" s="4" t="str">
        <f t="shared" si="26"/>
        <v/>
      </c>
      <c r="AD23" s="4" t="str">
        <f t="shared" si="27"/>
        <v/>
      </c>
      <c r="AE23" s="4" t="str">
        <f t="shared" si="28"/>
        <v/>
      </c>
      <c r="AF23" s="4" t="str">
        <f t="shared" si="29"/>
        <v/>
      </c>
    </row>
    <row r="24" spans="1:32" ht="14.25" customHeight="1" x14ac:dyDescent="0.3">
      <c r="A24" s="6">
        <v>46273</v>
      </c>
      <c r="B24" s="2">
        <v>1</v>
      </c>
      <c r="C24" s="2">
        <v>4</v>
      </c>
      <c r="D24" s="2">
        <v>3</v>
      </c>
      <c r="E24" s="2">
        <v>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>
        <f t="shared" si="2"/>
        <v>4</v>
      </c>
      <c r="V24" s="4">
        <f t="shared" si="19"/>
        <v>6</v>
      </c>
      <c r="W24" s="4">
        <f t="shared" si="20"/>
        <v>0</v>
      </c>
      <c r="X24" s="4">
        <f t="shared" si="21"/>
        <v>2</v>
      </c>
      <c r="Y24" s="4">
        <f t="shared" si="22"/>
        <v>3</v>
      </c>
      <c r="Z24" s="4" t="str">
        <f t="shared" si="23"/>
        <v/>
      </c>
      <c r="AA24" s="4" t="str">
        <f t="shared" si="24"/>
        <v/>
      </c>
      <c r="AB24" s="4" t="str">
        <f t="shared" si="25"/>
        <v/>
      </c>
      <c r="AC24" s="4" t="str">
        <f t="shared" si="26"/>
        <v/>
      </c>
      <c r="AD24" s="4" t="str">
        <f t="shared" si="27"/>
        <v/>
      </c>
      <c r="AE24" s="4" t="str">
        <f t="shared" si="28"/>
        <v/>
      </c>
      <c r="AF24" s="4" t="str">
        <f t="shared" si="29"/>
        <v/>
      </c>
    </row>
    <row r="25" spans="1:32" ht="14.25" customHeight="1" x14ac:dyDescent="0.3">
      <c r="A25" s="6">
        <v>46273</v>
      </c>
      <c r="B25" s="2">
        <v>3</v>
      </c>
      <c r="C25" s="2">
        <v>1</v>
      </c>
      <c r="D25" s="2">
        <v>2</v>
      </c>
      <c r="E25" s="2">
        <v>4</v>
      </c>
      <c r="F25" s="2"/>
      <c r="G25" s="2"/>
      <c r="H25" s="2"/>
      <c r="I25" s="2"/>
      <c r="J25" s="2"/>
      <c r="K25" s="2"/>
      <c r="L25" s="2"/>
      <c r="M25" s="2"/>
      <c r="N25" s="2">
        <v>4</v>
      </c>
      <c r="O25" s="2"/>
      <c r="P25">
        <f t="shared" si="2"/>
        <v>4</v>
      </c>
      <c r="V25" s="4">
        <f t="shared" si="19"/>
        <v>2</v>
      </c>
      <c r="W25" s="4">
        <f t="shared" si="20"/>
        <v>6</v>
      </c>
      <c r="X25" s="4">
        <f t="shared" si="21"/>
        <v>3</v>
      </c>
      <c r="Y25" s="4">
        <f t="shared" si="22"/>
        <v>0</v>
      </c>
      <c r="Z25" s="4" t="str">
        <f t="shared" si="23"/>
        <v/>
      </c>
      <c r="AA25" s="4" t="str">
        <f t="shared" si="24"/>
        <v/>
      </c>
      <c r="AB25" s="4" t="str">
        <f t="shared" si="25"/>
        <v/>
      </c>
      <c r="AC25" s="4" t="str">
        <f t="shared" si="26"/>
        <v/>
      </c>
      <c r="AD25" s="4" t="str">
        <f t="shared" si="27"/>
        <v/>
      </c>
      <c r="AE25" s="4" t="str">
        <f t="shared" si="28"/>
        <v/>
      </c>
      <c r="AF25" s="4">
        <f t="shared" si="29"/>
        <v>0</v>
      </c>
    </row>
    <row r="26" spans="1:32" ht="14.25" customHeight="1" x14ac:dyDescent="0.3">
      <c r="A26" s="6">
        <v>46274</v>
      </c>
      <c r="B26" s="2">
        <v>1</v>
      </c>
      <c r="C26" s="2">
        <v>5</v>
      </c>
      <c r="D26" s="2"/>
      <c r="E26" s="2">
        <v>2</v>
      </c>
      <c r="F26" s="2">
        <v>3</v>
      </c>
      <c r="G26" s="2"/>
      <c r="H26" s="2">
        <v>4</v>
      </c>
      <c r="I26" s="2"/>
      <c r="J26" s="2"/>
      <c r="K26" s="2"/>
      <c r="L26" s="2"/>
      <c r="M26" s="2"/>
      <c r="N26" s="2">
        <v>3</v>
      </c>
      <c r="O26" s="2"/>
      <c r="P26">
        <f t="shared" si="2"/>
        <v>5</v>
      </c>
      <c r="V26" s="4">
        <f t="shared" si="19"/>
        <v>6</v>
      </c>
      <c r="W26" s="4">
        <f t="shared" si="20"/>
        <v>0</v>
      </c>
      <c r="X26" s="4" t="str">
        <f t="shared" si="21"/>
        <v/>
      </c>
      <c r="Y26" s="4">
        <f t="shared" si="22"/>
        <v>3</v>
      </c>
      <c r="Z26" s="4">
        <f t="shared" si="23"/>
        <v>2</v>
      </c>
      <c r="AA26" s="4" t="str">
        <f t="shared" si="24"/>
        <v/>
      </c>
      <c r="AB26" s="4">
        <f t="shared" si="25"/>
        <v>0</v>
      </c>
      <c r="AC26" s="4" t="str">
        <f t="shared" si="26"/>
        <v/>
      </c>
      <c r="AD26" s="4" t="str">
        <f t="shared" si="27"/>
        <v/>
      </c>
      <c r="AE26" s="4" t="str">
        <f t="shared" si="28"/>
        <v/>
      </c>
      <c r="AF26" s="4">
        <f t="shared" si="29"/>
        <v>2</v>
      </c>
    </row>
    <row r="27" spans="1:32" ht="14.25" customHeight="1" x14ac:dyDescent="0.3">
      <c r="A27" s="6">
        <v>46274</v>
      </c>
      <c r="B27" s="2">
        <v>1</v>
      </c>
      <c r="C27" s="2">
        <v>3</v>
      </c>
      <c r="D27" s="2"/>
      <c r="E27" s="2">
        <v>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>
        <f t="shared" si="2"/>
        <v>3</v>
      </c>
      <c r="V27" s="4">
        <f t="shared" si="19"/>
        <v>6</v>
      </c>
      <c r="W27" s="4">
        <f t="shared" si="20"/>
        <v>0</v>
      </c>
      <c r="X27" s="4" t="str">
        <f t="shared" si="21"/>
        <v/>
      </c>
      <c r="Y27" s="4">
        <f t="shared" si="22"/>
        <v>3</v>
      </c>
      <c r="Z27" s="4" t="str">
        <f t="shared" si="23"/>
        <v/>
      </c>
      <c r="AA27" s="4" t="str">
        <f t="shared" si="24"/>
        <v/>
      </c>
      <c r="AB27" s="4" t="str">
        <f t="shared" si="25"/>
        <v/>
      </c>
      <c r="AC27" s="4" t="str">
        <f t="shared" si="26"/>
        <v/>
      </c>
      <c r="AD27" s="4" t="str">
        <f t="shared" si="27"/>
        <v/>
      </c>
      <c r="AE27" s="4" t="str">
        <f t="shared" si="28"/>
        <v/>
      </c>
      <c r="AF27" s="4" t="str">
        <f t="shared" si="29"/>
        <v/>
      </c>
    </row>
    <row r="28" spans="1:32" ht="14.25" customHeight="1" x14ac:dyDescent="0.3">
      <c r="A28" s="6">
        <v>46275</v>
      </c>
      <c r="B28" s="2">
        <v>2</v>
      </c>
      <c r="C28" s="2">
        <v>1</v>
      </c>
      <c r="D28" s="2">
        <v>1</v>
      </c>
      <c r="E28" s="2"/>
      <c r="F28" s="2">
        <v>3</v>
      </c>
      <c r="G28" s="2"/>
      <c r="H28" s="2"/>
      <c r="I28" s="2"/>
      <c r="J28" s="2"/>
      <c r="K28" s="2"/>
      <c r="L28" s="2"/>
      <c r="M28" s="2"/>
      <c r="N28" s="2"/>
      <c r="O28" s="2"/>
      <c r="P28">
        <f t="shared" si="2"/>
        <v>3</v>
      </c>
      <c r="V28" s="4">
        <f t="shared" si="19"/>
        <v>3</v>
      </c>
      <c r="W28" s="4">
        <f t="shared" si="20"/>
        <v>6</v>
      </c>
      <c r="X28" s="4">
        <f t="shared" si="21"/>
        <v>6</v>
      </c>
      <c r="Y28" s="4" t="str">
        <f t="shared" si="22"/>
        <v/>
      </c>
      <c r="Z28" s="4">
        <f t="shared" si="23"/>
        <v>0</v>
      </c>
      <c r="AA28" s="4" t="str">
        <f t="shared" si="24"/>
        <v/>
      </c>
      <c r="AB28" s="4" t="str">
        <f t="shared" si="25"/>
        <v/>
      </c>
      <c r="AC28" s="4" t="str">
        <f t="shared" si="26"/>
        <v/>
      </c>
      <c r="AD28" s="4" t="str">
        <f t="shared" si="27"/>
        <v/>
      </c>
      <c r="AE28" s="4" t="str">
        <f t="shared" si="28"/>
        <v/>
      </c>
      <c r="AF28" s="4" t="str">
        <f t="shared" si="29"/>
        <v/>
      </c>
    </row>
    <row r="29" spans="1:32" ht="14.25" customHeight="1" x14ac:dyDescent="0.3">
      <c r="A29" s="6">
        <v>46275</v>
      </c>
      <c r="B29" s="2">
        <v>2</v>
      </c>
      <c r="C29" s="2">
        <v>2</v>
      </c>
      <c r="D29" s="2">
        <v>1</v>
      </c>
      <c r="E29" s="2"/>
      <c r="F29" s="2">
        <v>2</v>
      </c>
      <c r="G29" s="2"/>
      <c r="H29" s="2"/>
      <c r="I29" s="2"/>
      <c r="J29" s="2"/>
      <c r="K29" s="2"/>
      <c r="L29" s="2"/>
      <c r="M29" s="2"/>
      <c r="N29" s="2"/>
      <c r="O29" s="2"/>
      <c r="P29">
        <f t="shared" si="2"/>
        <v>2</v>
      </c>
      <c r="V29" s="4">
        <f t="shared" si="19"/>
        <v>0</v>
      </c>
      <c r="W29" s="4">
        <f t="shared" si="20"/>
        <v>0</v>
      </c>
      <c r="X29" s="4">
        <f t="shared" si="21"/>
        <v>6</v>
      </c>
      <c r="Y29" s="4" t="str">
        <f t="shared" si="22"/>
        <v/>
      </c>
      <c r="Z29" s="4">
        <f t="shared" si="23"/>
        <v>0</v>
      </c>
      <c r="AA29" s="4" t="str">
        <f t="shared" si="24"/>
        <v/>
      </c>
      <c r="AB29" s="4" t="str">
        <f t="shared" si="25"/>
        <v/>
      </c>
      <c r="AC29" s="4" t="str">
        <f t="shared" si="26"/>
        <v/>
      </c>
      <c r="AD29" s="4" t="str">
        <f t="shared" si="27"/>
        <v/>
      </c>
      <c r="AE29" s="4" t="str">
        <f t="shared" si="28"/>
        <v/>
      </c>
      <c r="AF29" s="4" t="str">
        <f t="shared" si="29"/>
        <v/>
      </c>
    </row>
    <row r="30" spans="1:32" ht="14.25" customHeight="1" x14ac:dyDescent="0.3">
      <c r="A30" s="6">
        <v>46276</v>
      </c>
      <c r="B30" s="2">
        <v>2</v>
      </c>
      <c r="C30" s="2">
        <v>2</v>
      </c>
      <c r="D30" s="2"/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>
        <f t="shared" si="2"/>
        <v>2</v>
      </c>
      <c r="V30" s="4">
        <f t="shared" si="19"/>
        <v>0</v>
      </c>
      <c r="W30" s="4">
        <f t="shared" si="20"/>
        <v>0</v>
      </c>
      <c r="X30" s="4" t="str">
        <f t="shared" si="21"/>
        <v/>
      </c>
      <c r="Y30" s="4">
        <f t="shared" si="22"/>
        <v>6</v>
      </c>
      <c r="Z30" s="4" t="str">
        <f t="shared" si="23"/>
        <v/>
      </c>
      <c r="AA30" s="4" t="str">
        <f t="shared" si="24"/>
        <v/>
      </c>
      <c r="AB30" s="4" t="str">
        <f t="shared" si="25"/>
        <v/>
      </c>
      <c r="AC30" s="4" t="str">
        <f t="shared" si="26"/>
        <v/>
      </c>
      <c r="AD30" s="4" t="str">
        <f t="shared" si="27"/>
        <v/>
      </c>
      <c r="AE30" s="4" t="str">
        <f t="shared" si="28"/>
        <v/>
      </c>
      <c r="AF30" s="4" t="str">
        <f t="shared" si="29"/>
        <v/>
      </c>
    </row>
    <row r="31" spans="1:32" ht="14.25" customHeight="1" x14ac:dyDescent="0.3">
      <c r="A31" s="6">
        <v>46276</v>
      </c>
      <c r="B31" s="2">
        <v>3</v>
      </c>
      <c r="C31" s="2">
        <v>2</v>
      </c>
      <c r="D31" s="2"/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>
        <f t="shared" si="2"/>
        <v>3</v>
      </c>
      <c r="V31" s="4">
        <f t="shared" si="19"/>
        <v>0</v>
      </c>
      <c r="W31" s="4">
        <f t="shared" si="20"/>
        <v>3</v>
      </c>
      <c r="X31" s="4" t="str">
        <f t="shared" si="21"/>
        <v/>
      </c>
      <c r="Y31" s="4">
        <f t="shared" si="22"/>
        <v>6</v>
      </c>
      <c r="Z31" s="4" t="str">
        <f t="shared" si="23"/>
        <v/>
      </c>
      <c r="AA31" s="4" t="str">
        <f t="shared" si="24"/>
        <v/>
      </c>
      <c r="AB31" s="4" t="str">
        <f t="shared" si="25"/>
        <v/>
      </c>
      <c r="AC31" s="4" t="str">
        <f t="shared" si="26"/>
        <v/>
      </c>
      <c r="AD31" s="4" t="str">
        <f t="shared" si="27"/>
        <v/>
      </c>
      <c r="AE31" s="4" t="str">
        <f t="shared" si="28"/>
        <v/>
      </c>
      <c r="AF31" s="4" t="str">
        <f t="shared" si="29"/>
        <v/>
      </c>
    </row>
    <row r="32" spans="1:32" ht="14.25" customHeight="1" x14ac:dyDescent="0.3">
      <c r="A32" s="6">
        <v>46279</v>
      </c>
      <c r="B32" s="2">
        <v>3</v>
      </c>
      <c r="C32" s="2">
        <v>1</v>
      </c>
      <c r="D32" s="2"/>
      <c r="E32" s="2">
        <v>2</v>
      </c>
      <c r="F32" s="2">
        <v>4</v>
      </c>
      <c r="G32" s="2"/>
      <c r="H32" s="2"/>
      <c r="I32" s="2"/>
      <c r="J32" s="2"/>
      <c r="K32" s="2"/>
      <c r="L32" s="2"/>
      <c r="M32" s="2"/>
      <c r="N32" s="2"/>
      <c r="O32" s="2"/>
      <c r="P32">
        <f t="shared" si="2"/>
        <v>4</v>
      </c>
      <c r="V32" s="4">
        <f t="shared" si="19"/>
        <v>2</v>
      </c>
      <c r="W32" s="4">
        <f t="shared" si="20"/>
        <v>6</v>
      </c>
      <c r="X32" s="4" t="str">
        <f t="shared" si="21"/>
        <v/>
      </c>
      <c r="Y32" s="4">
        <f t="shared" si="22"/>
        <v>3</v>
      </c>
      <c r="Z32" s="4">
        <f t="shared" si="23"/>
        <v>0</v>
      </c>
      <c r="AA32" s="4" t="str">
        <f t="shared" si="24"/>
        <v/>
      </c>
      <c r="AB32" s="4" t="str">
        <f t="shared" si="25"/>
        <v/>
      </c>
      <c r="AC32" s="4" t="str">
        <f t="shared" si="26"/>
        <v/>
      </c>
      <c r="AD32" s="4" t="str">
        <f t="shared" si="27"/>
        <v/>
      </c>
      <c r="AE32" s="4" t="str">
        <f t="shared" si="28"/>
        <v/>
      </c>
      <c r="AF32" s="4" t="str">
        <f t="shared" si="29"/>
        <v/>
      </c>
    </row>
    <row r="33" spans="1:32" ht="14.25" customHeight="1" x14ac:dyDescent="0.3">
      <c r="A33" s="6">
        <v>46279</v>
      </c>
      <c r="B33" s="2">
        <v>3</v>
      </c>
      <c r="C33" s="2">
        <v>1</v>
      </c>
      <c r="D33" s="2"/>
      <c r="E33" s="2">
        <v>2</v>
      </c>
      <c r="F33" s="2">
        <v>2</v>
      </c>
      <c r="G33" s="2"/>
      <c r="H33" s="2"/>
      <c r="I33" s="2"/>
      <c r="J33" s="2"/>
      <c r="K33" s="2"/>
      <c r="L33" s="2">
        <v>4</v>
      </c>
      <c r="M33" s="2"/>
      <c r="N33" s="2"/>
      <c r="O33" s="2"/>
      <c r="P33">
        <f t="shared" si="2"/>
        <v>4</v>
      </c>
      <c r="V33" s="4">
        <f t="shared" si="19"/>
        <v>2</v>
      </c>
      <c r="W33" s="4">
        <f t="shared" si="20"/>
        <v>6</v>
      </c>
      <c r="X33" s="4" t="str">
        <f t="shared" si="21"/>
        <v/>
      </c>
      <c r="Y33" s="4">
        <f t="shared" si="22"/>
        <v>3</v>
      </c>
      <c r="Z33" s="4">
        <f t="shared" si="23"/>
        <v>3</v>
      </c>
      <c r="AA33" s="4" t="str">
        <f t="shared" si="24"/>
        <v/>
      </c>
      <c r="AB33" s="4" t="str">
        <f t="shared" si="25"/>
        <v/>
      </c>
      <c r="AC33" s="4" t="str">
        <f t="shared" si="26"/>
        <v/>
      </c>
      <c r="AD33" s="4" t="str">
        <f t="shared" si="27"/>
        <v/>
      </c>
      <c r="AE33" s="4" t="str">
        <f t="shared" si="28"/>
        <v/>
      </c>
      <c r="AF33" s="4" t="str">
        <f t="shared" si="29"/>
        <v/>
      </c>
    </row>
    <row r="34" spans="1:32" ht="14.25" customHeight="1" x14ac:dyDescent="0.3">
      <c r="A34" s="6">
        <v>46279</v>
      </c>
      <c r="B34" s="2"/>
      <c r="C34" s="2"/>
      <c r="D34" s="2">
        <v>1</v>
      </c>
      <c r="E34" s="2"/>
      <c r="F34" s="2"/>
      <c r="G34" s="2"/>
      <c r="H34" s="2"/>
      <c r="I34" s="2"/>
      <c r="J34" s="2">
        <v>3</v>
      </c>
      <c r="K34" s="2"/>
      <c r="L34" s="2"/>
      <c r="M34" s="2">
        <v>1</v>
      </c>
      <c r="N34" s="2"/>
      <c r="O34" s="2">
        <v>2</v>
      </c>
      <c r="P34">
        <f t="shared" si="2"/>
        <v>3</v>
      </c>
      <c r="V34" s="4" t="str">
        <f t="shared" si="19"/>
        <v/>
      </c>
      <c r="W34" s="4" t="str">
        <f t="shared" si="20"/>
        <v/>
      </c>
      <c r="X34" s="4">
        <f t="shared" si="21"/>
        <v>6</v>
      </c>
      <c r="Y34" s="4" t="str">
        <f t="shared" si="22"/>
        <v/>
      </c>
      <c r="Z34" s="4" t="str">
        <f t="shared" si="23"/>
        <v/>
      </c>
      <c r="AA34" s="4" t="str">
        <f t="shared" si="24"/>
        <v/>
      </c>
      <c r="AB34" s="4" t="str">
        <f t="shared" si="25"/>
        <v/>
      </c>
      <c r="AC34" s="4" t="str">
        <f t="shared" si="26"/>
        <v/>
      </c>
      <c r="AD34" s="4">
        <f t="shared" si="27"/>
        <v>0</v>
      </c>
      <c r="AE34" s="4" t="str">
        <f t="shared" si="28"/>
        <v/>
      </c>
      <c r="AF34" s="4" t="str">
        <f t="shared" si="29"/>
        <v/>
      </c>
    </row>
    <row r="35" spans="1:32" ht="14.25" customHeight="1" x14ac:dyDescent="0.3">
      <c r="A35" s="6">
        <v>46280</v>
      </c>
      <c r="B35" s="2">
        <v>2</v>
      </c>
      <c r="C35" s="2">
        <v>3</v>
      </c>
      <c r="D35" s="2"/>
      <c r="E35" s="2">
        <v>1</v>
      </c>
      <c r="F35" s="2"/>
      <c r="G35" s="2"/>
      <c r="H35" s="2"/>
      <c r="I35" s="2"/>
      <c r="J35" s="2"/>
      <c r="K35" s="2"/>
      <c r="L35" s="2">
        <v>5</v>
      </c>
      <c r="M35" s="2"/>
      <c r="N35" s="2">
        <v>4</v>
      </c>
      <c r="O35" s="2"/>
      <c r="P35">
        <f t="shared" si="2"/>
        <v>5</v>
      </c>
      <c r="V35" s="4">
        <f t="shared" si="19"/>
        <v>3</v>
      </c>
      <c r="W35" s="4">
        <f t="shared" si="20"/>
        <v>2</v>
      </c>
      <c r="X35" s="4" t="str">
        <f t="shared" si="21"/>
        <v/>
      </c>
      <c r="Y35" s="4">
        <f t="shared" si="22"/>
        <v>6</v>
      </c>
      <c r="Z35" s="4" t="str">
        <f t="shared" si="23"/>
        <v/>
      </c>
      <c r="AA35" s="4" t="str">
        <f t="shared" si="24"/>
        <v/>
      </c>
      <c r="AB35" s="4" t="str">
        <f t="shared" si="25"/>
        <v/>
      </c>
      <c r="AC35" s="4" t="str">
        <f t="shared" si="26"/>
        <v/>
      </c>
      <c r="AD35" s="4" t="str">
        <f t="shared" si="27"/>
        <v/>
      </c>
      <c r="AE35" s="4" t="str">
        <f t="shared" si="28"/>
        <v/>
      </c>
      <c r="AF35" s="4">
        <f t="shared" si="29"/>
        <v>0</v>
      </c>
    </row>
    <row r="36" spans="1:32" x14ac:dyDescent="0.3">
      <c r="A36" s="6">
        <v>46280</v>
      </c>
      <c r="B36" s="2">
        <v>2</v>
      </c>
      <c r="C36" s="2">
        <v>1</v>
      </c>
      <c r="D36" s="2"/>
      <c r="E36" s="2">
        <v>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>
        <f t="shared" si="2"/>
        <v>3</v>
      </c>
      <c r="V36" s="4">
        <f t="shared" si="19"/>
        <v>3</v>
      </c>
      <c r="W36" s="4">
        <f t="shared" si="20"/>
        <v>6</v>
      </c>
      <c r="X36" s="4" t="str">
        <f t="shared" si="21"/>
        <v/>
      </c>
      <c r="Y36" s="4">
        <f t="shared" si="22"/>
        <v>0</v>
      </c>
      <c r="Z36" s="4" t="str">
        <f t="shared" si="23"/>
        <v/>
      </c>
      <c r="AA36" s="4" t="str">
        <f t="shared" si="24"/>
        <v/>
      </c>
      <c r="AB36" s="4" t="str">
        <f t="shared" si="25"/>
        <v/>
      </c>
      <c r="AC36" s="4" t="str">
        <f t="shared" si="26"/>
        <v/>
      </c>
      <c r="AD36" s="4" t="str">
        <f t="shared" si="27"/>
        <v/>
      </c>
      <c r="AE36" s="4" t="str">
        <f t="shared" si="28"/>
        <v/>
      </c>
      <c r="AF36" s="4" t="str">
        <f t="shared" si="29"/>
        <v/>
      </c>
    </row>
    <row r="37" spans="1:32" x14ac:dyDescent="0.3">
      <c r="A37" s="6">
        <v>46281</v>
      </c>
      <c r="B37" s="7">
        <v>2</v>
      </c>
      <c r="C37" s="7">
        <v>1</v>
      </c>
      <c r="D37" s="2"/>
      <c r="E37" s="2"/>
      <c r="F37" s="2"/>
      <c r="G37" s="2"/>
      <c r="H37" s="2"/>
      <c r="I37" s="2"/>
      <c r="J37" s="2"/>
      <c r="K37" s="2"/>
      <c r="L37" s="2">
        <v>3</v>
      </c>
      <c r="M37" s="2"/>
      <c r="N37" s="2">
        <v>4</v>
      </c>
      <c r="O37" s="2"/>
      <c r="P37">
        <f t="shared" si="2"/>
        <v>4</v>
      </c>
      <c r="V37" s="4">
        <f t="shared" si="19"/>
        <v>3</v>
      </c>
      <c r="W37" s="4">
        <f t="shared" si="20"/>
        <v>6</v>
      </c>
      <c r="X37" s="4" t="str">
        <f t="shared" si="21"/>
        <v/>
      </c>
      <c r="Y37" s="4" t="str">
        <f t="shared" si="22"/>
        <v/>
      </c>
      <c r="Z37" s="4" t="str">
        <f t="shared" si="23"/>
        <v/>
      </c>
      <c r="AA37" s="4" t="str">
        <f t="shared" si="24"/>
        <v/>
      </c>
      <c r="AB37" s="4" t="str">
        <f t="shared" si="25"/>
        <v/>
      </c>
      <c r="AC37" s="4" t="str">
        <f t="shared" si="26"/>
        <v/>
      </c>
      <c r="AD37" s="4" t="str">
        <f t="shared" si="27"/>
        <v/>
      </c>
      <c r="AE37" s="4" t="str">
        <f t="shared" si="28"/>
        <v/>
      </c>
      <c r="AF37" s="4">
        <f t="shared" si="29"/>
        <v>0</v>
      </c>
    </row>
    <row r="38" spans="1:32" x14ac:dyDescent="0.3">
      <c r="P38">
        <f t="shared" si="2"/>
        <v>0</v>
      </c>
    </row>
    <row r="39" spans="1:32" x14ac:dyDescent="0.3">
      <c r="P39">
        <f t="shared" si="2"/>
        <v>0</v>
      </c>
    </row>
    <row r="40" spans="1:32" x14ac:dyDescent="0.3">
      <c r="P40">
        <f t="shared" si="2"/>
        <v>0</v>
      </c>
    </row>
    <row r="41" spans="1:32" x14ac:dyDescent="0.3">
      <c r="P41">
        <f t="shared" si="2"/>
        <v>0</v>
      </c>
    </row>
    <row r="42" spans="1:32" x14ac:dyDescent="0.3">
      <c r="P42">
        <f t="shared" si="2"/>
        <v>0</v>
      </c>
    </row>
    <row r="43" spans="1:32" x14ac:dyDescent="0.3">
      <c r="P43">
        <f t="shared" si="2"/>
        <v>0</v>
      </c>
    </row>
    <row r="44" spans="1:32" x14ac:dyDescent="0.3">
      <c r="P44">
        <f t="shared" si="2"/>
        <v>0</v>
      </c>
    </row>
    <row r="45" spans="1:32" x14ac:dyDescent="0.3">
      <c r="P45">
        <f t="shared" si="2"/>
        <v>0</v>
      </c>
    </row>
    <row r="46" spans="1:32" x14ac:dyDescent="0.3">
      <c r="P46">
        <f t="shared" si="2"/>
        <v>0</v>
      </c>
    </row>
    <row r="47" spans="1:32" x14ac:dyDescent="0.3">
      <c r="P47">
        <f t="shared" si="2"/>
        <v>0</v>
      </c>
    </row>
  </sheetData>
  <pageMargins left="0.7" right="0.7" top="0.75" bottom="0.75" header="0.511811023622047" footer="0.3"/>
  <pageSetup paperSize="9" orientation="portrait" horizontalDpi="300" verticalDpi="300"/>
  <headerFooter>
    <oddFooter xml:space="preserve">&amp;L&amp;"Tahoma,Regular"&amp;9 &amp;Kcf022b_x005F_x000d_# C2 – Usage restreint_x000D_&amp;1#&amp;"Tahoma"&amp;9&amp;KCF022B C2 – Usage restreint 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Gabriel</dc:creator>
  <dc:description/>
  <cp:lastModifiedBy>CHARLES Gabriel</cp:lastModifiedBy>
  <cp:revision>0</cp:revision>
  <dcterms:created xsi:type="dcterms:W3CDTF">2026-09-03T13:39:46Z</dcterms:created>
  <dcterms:modified xsi:type="dcterms:W3CDTF">2026-09-16T14:26:52Z</dcterms:modified>
  <dc:language>en-US</dc:language>
</cp:coreProperties>
</file>